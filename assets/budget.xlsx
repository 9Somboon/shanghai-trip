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สรุปทริป" sheetId="1" state="visible" r:id="rId1"/>
    <sheet xmlns:r="http://schemas.openxmlformats.org/officeDocument/2006/relationships" name="2.งบประมาณ" sheetId="2" state="visible" r:id="rId2"/>
    <sheet xmlns:r="http://schemas.openxmlformats.org/officeDocument/2006/relationships" name="3.ค่าใช้จ่ายรายวัน" sheetId="3" state="visible" r:id="rId3"/>
    <sheet xmlns:r="http://schemas.openxmlformats.org/officeDocument/2006/relationships" name="4.ค่าตั๋ว+ฟรี" sheetId="4" state="visible" r:id="rId4"/>
    <sheet xmlns:r="http://schemas.openxmlformats.org/officeDocument/2006/relationships" name="5.เส้นทาง v4" sheetId="5" state="visible" r:id="rId5"/>
    <sheet xmlns:r="http://schemas.openxmlformats.org/officeDocument/2006/relationships" name="6.แผนกิน" sheetId="6" state="visible" r:id="rId6"/>
    <sheet xmlns:r="http://schemas.openxmlformats.org/officeDocument/2006/relationships" name="7.เช็กลิสต์" sheetId="7" state="visible" r:id="rId7"/>
    <sheet xmlns:r="http://schemas.openxmlformats.org/officeDocument/2006/relationships" name="8.ตารางรายวัน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0.5"/>
    </font>
    <font>
      <b val="1"/>
    </font>
    <font>
      <sz val="9"/>
    </font>
    <font>
      <b val="1"/>
      <sz val="12"/>
    </font>
    <font>
      <b val="1"/>
      <color rgb="001E7A34"/>
      <sz val="14"/>
    </font>
    <font>
      <b val="1"/>
      <color rgb="00B8860B"/>
    </font>
    <font>
      <b val="1"/>
      <color rgb="00FFFFFF"/>
    </font>
    <font>
      <b val="1"/>
      <color rgb="00FFFF00"/>
      <sz val="13"/>
    </font>
    <font>
      <b val="1"/>
      <color rgb="001F3864"/>
      <sz val="11"/>
    </font>
    <font>
      <i val="1"/>
      <color rgb="00808080"/>
      <sz val="9"/>
    </font>
    <font>
      <b val="1"/>
      <color rgb="00C00000"/>
    </font>
    <font>
      <b val="1"/>
      <color rgb="00C00000"/>
      <sz val="12"/>
    </font>
    <font>
      <sz val="14"/>
    </font>
    <font>
      <b val="1"/>
      <color rgb="001F3864"/>
      <sz val="10"/>
    </font>
    <font>
      <b val="1"/>
      <color rgb="002E75B6"/>
    </font>
    <font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EEB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2F7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3" fontId="0" fillId="7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center" wrapText="1"/>
    </xf>
    <xf numFmtId="3" fontId="0" fillId="8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3" fontId="3" fillId="7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3" fontId="3" fillId="9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3" fontId="6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3" fontId="7" fillId="1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3" fontId="9" fillId="2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3" fontId="0" fillId="11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3" fontId="0" fillId="10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center" vertical="center" wrapText="1"/>
    </xf>
    <xf numFmtId="3" fontId="13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center" wrapText="1"/>
    </xf>
    <xf numFmtId="0" fontId="17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2" customWidth="1" min="2" max="2"/>
    <col width="16" customWidth="1" min="3" max="3"/>
    <col width="14" customWidth="1" min="4" max="4"/>
  </cols>
  <sheetData>
    <row r="1" ht="30" customHeight="1">
      <c r="A1" s="1" t="inlineStr">
        <is>
          <t>เซี่ยงไฮ้ 10–15 ธ.ค. 2569 • 7 คน • v4 จัดเรียงตาม wishlist (flow ไม่ย้อนทาง)</t>
        </is>
      </c>
      <c r="B1" s="2" t="n"/>
      <c r="C1" s="2" t="n"/>
      <c r="D1" s="2" t="n"/>
    </row>
    <row r="3" ht="34" customHeight="1">
      <c r="A3" s="3" t="inlineStr">
        <is>
          <t>หัวข้อ</t>
        </is>
      </c>
      <c r="B3" s="3" t="inlineStr">
        <is>
          <t>รายละเอียด</t>
        </is>
      </c>
      <c r="C3" s="3" t="inlineStr"/>
      <c r="D3" s="3" t="inlineStr"/>
    </row>
    <row r="4" ht="34" customHeight="1">
      <c r="A4" s="4" t="inlineStr">
        <is>
          <t>✈️ ขาไป</t>
        </is>
      </c>
      <c r="B4" s="5" t="inlineStr">
        <is>
          <t>Spring 9C7282 • พฤ 10 ธ.ค. • BKK 14:45 → PVG T2 20:05 • 9,922 บาท/คน • ไม่มีอาหารบนเครื่อง</t>
        </is>
      </c>
      <c r="C4" s="5" t="inlineStr"/>
      <c r="D4" s="5" t="inlineStr"/>
    </row>
    <row r="5" ht="34" customHeight="1">
      <c r="A5" s="4" t="inlineStr">
        <is>
          <t>✈️ ขากลับ</t>
        </is>
      </c>
      <c r="B5" s="5" t="inlineStr">
        <is>
          <t>Spring 9C7283 • อังคาร 15 ธ.ค. • PVG T2 12:00 → BKK 15:45 • «ออกโรงแรม 08:15 ตรง — เช้าวันกลับห้ามมีโปรแกรม»</t>
        </is>
      </c>
      <c r="C5" s="5" t="inlineStr"/>
      <c r="D5" s="5" t="inlineStr"/>
    </row>
    <row r="6" ht="34" customHeight="1">
      <c r="A6" s="4" t="inlineStr">
        <is>
          <t>🏨 ที่พัก</t>
        </is>
      </c>
      <c r="B6" s="5" t="inlineStr">
        <is>
          <t>สวีท 3 นอน+1 นั่งเล่น+2 น้ำ • 5 ควีน (2+2+2+1) • ชั้น 33 อาคาร A เลข 1 เลน 129 ถ.ต้าเถียน จิ้งอัน • จีน: 上海市静安区大田路129弄1号A座33层</t>
        </is>
      </c>
      <c r="C6" s="5" t="inlineStr"/>
      <c r="D6" s="5" t="inlineStr"/>
    </row>
    <row r="7" ht="34" customHeight="1">
      <c r="A7" s="4" t="inlineStr">
        <is>
          <t>🏨 โทร/เวลา</t>
        </is>
      </c>
      <c r="B7" s="5" t="inlineStr">
        <is>
          <t>+86 185-1623-9428 / +86 186-2182-4689 • เช็กอินถึง 23:30 (ถึงจริง ~22:15–22:45 → แจ้งล่วงหน้า) • ไม่มีอาหารเช้า • 40,082.32 บาททั้งกรุ๊ป = 5,726/คน</t>
        </is>
      </c>
      <c r="C7" s="5" t="inlineStr"/>
      <c r="D7" s="5" t="inlineStr"/>
    </row>
    <row r="8" ht="34" customHeight="1">
      <c r="A8" s="4" t="inlineStr">
        <is>
          <t>🚇 ทำเล</t>
        </is>
      </c>
      <c r="B8" s="5" t="inlineStr">
        <is>
          <t>Line 13 自然博物馆 ~500 ม. (Xintiandi ตรง) • Line 2 南京西路 ~600 ม. (Lujiazui/หงเฉียว ตรง) • เดินถึง Jing'an Temple+Kerry+Zhang Yuan</t>
        </is>
      </c>
      <c r="C8" s="5" t="inlineStr"/>
      <c r="D8" s="5" t="inlineStr"/>
    </row>
    <row r="9" ht="34" customHeight="1">
      <c r="A9" s="6" t="inlineStr">
        <is>
          <t>💰 จ่ายแล้ว</t>
        </is>
      </c>
      <c r="B9" s="7" t="inlineStr">
        <is>
          <t>9,922 + 5,726 = 15,648 บาท/คน</t>
        </is>
      </c>
      <c r="C9" s="5" t="inlineStr"/>
      <c r="D9" s="5" t="inlineStr"/>
    </row>
    <row r="10" ht="34" customHeight="1">
      <c r="A10" s="6" t="inlineStr">
        <is>
          <t>💰 พกไป (แนะนำ)</t>
        </is>
      </c>
      <c r="B10" s="7" t="inlineStr">
        <is>
          <t>≈ 8,055 บาท/คน → รวมทั้งหมด ≈ 23,700 บาท/คน • ทั้งกรุ๊ป ≈ 165,900 บาท</t>
        </is>
      </c>
      <c r="C10" s="5" t="inlineStr"/>
      <c r="D10" s="5" t="inlineStr"/>
    </row>
    <row r="11" ht="34" customHeight="1">
      <c r="A11" s="4" t="inlineStr">
        <is>
          <t>🧭 ตรรกะการจัดวัน</t>
        </is>
      </c>
      <c r="B11" s="5" t="inlineStr">
        <is>
          <t>ศุกร์ = กลางเมืองเก่า→เดินเลียบแม่น้ำขึ้นเหนือ→North Bund กันเซ็ต+ตลาดเยอรมัน • เสาร์ = กิงโกะตะวันตก+เฟรนช์คอนเซสชัน+Xintiandi • อาทิตย์ = แกนผู่ตงใต้ (ดาราศาสตร์+Expo+กิงโกะ Jumen) • จันทร์ = กิงโกะเหนือ+หงโข่ว→Lujiazui/Aquarium→ปิดทริปจิ้งอัน</t>
        </is>
      </c>
      <c r="C11" s="5" t="inlineStr"/>
      <c r="D11" s="5" t="inlineStr"/>
    </row>
    <row r="12" ht="34" customHeight="1">
      <c r="A12" s="4" t="inlineStr">
        <is>
          <t>🍂 กิงโกะ 5 พิกัดในแผน</t>
        </is>
      </c>
      <c r="B12" s="5" t="inlineStr">
        <is>
          <t>Concert Hall (จ.เช้า) • Wenshui Rd (จ.เช้า) • Huangjincheng Rd (ส.เช้า) • Ruijin (ส.บ่าย) • Jumen Rd (อา.เย็น) • ตัวสำรอง: Century Park</t>
        </is>
      </c>
      <c r="C12" s="5" t="inlineStr"/>
      <c r="D12" s="5" t="inlineStr"/>
    </row>
    <row r="13" ht="34" customHeight="1">
      <c r="A13" s="4" t="inlineStr">
        <is>
          <t>🍂 โน้ตฤดู</t>
        </is>
      </c>
      <c r="B13" s="5" t="inlineStr">
        <is>
          <t>กลาง ธ.ค. = ปลายพีค/พรมใบร่วง • เช็ก Xiaohongshu (小红书) ก่อน 2–3 วัน แล้วสลับตัวสำรองถ้าร่วงหมด</t>
        </is>
      </c>
      <c r="C13" s="5" t="inlineStr"/>
      <c r="D13" s="5" t="inlineStr"/>
    </row>
    <row r="14" ht="34" customHeight="1">
      <c r="A14" s="8" t="inlineStr">
        <is>
          <t>✂️ ตัดออก</t>
        </is>
      </c>
      <c r="B14" s="9" t="inlineStr">
        <is>
          <t>จูเจียเจี่ยว (ไม่อยู่ในลิสต์ใหม่) • ขึ้นหอชมวิว (ใช้วิวฟรีสะพานวงแหวน/เฟอร์รี่/North Bund) • Starry Band (3.9★) • Museum East = Plan B วันฝน</t>
        </is>
      </c>
      <c r="C14" s="5" t="inlineStr"/>
      <c r="D14" s="5" t="inlineStr"/>
    </row>
    <row r="15" ht="34" customHeight="1">
      <c r="A15" s="8" t="inlineStr">
        <is>
          <t>⚠️ ปิดวันจันทร์</t>
        </is>
      </c>
      <c r="B15" s="9" t="inlineStr">
        <is>
          <t>Yu Garden / NatHist / Postal Museum / «พิพิธภัณฑ์ดาราศาสตร์» → วางไว้นอกวันจันทร์หมดแล้ว ✅</t>
        </is>
      </c>
      <c r="C15" s="5" t="inlineStr"/>
      <c r="D15" s="5" t="inlineStr"/>
    </row>
    <row r="16" ht="34" customHeight="1">
      <c r="A16" s="4" t="inlineStr">
        <is>
          <t>🌡️ อากาศ</t>
        </is>
      </c>
      <c r="B16" s="5" t="inlineStr">
        <is>
          <t>4–11°C ชื้น ลมแรง • มืด 16:50 น. • PM2.5 บางวัน</t>
        </is>
      </c>
      <c r="C16" s="5" t="inlineStr"/>
      <c r="D16" s="5" t="inlineStr"/>
    </row>
    <row r="17" ht="34" customHeight="1">
      <c r="A17" s="4" t="inlineStr">
        <is>
          <t xml:space="preserve"> วีซ่า</t>
        </is>
      </c>
      <c r="B17" s="5" t="inlineStr">
        <is>
          <t>คนไทยฟรีวีซ่า 30 วัน • พาสปอร์ต ≥ 6 เดือน</t>
        </is>
      </c>
      <c r="C17" s="5" t="inlineStr"/>
      <c r="D17" s="5" t="inlineStr"/>
    </row>
    <row r="18" ht="34" customHeight="1">
      <c r="A18" s="4" t="inlineStr">
        <is>
          <t>💱 FX</t>
        </is>
      </c>
      <c r="B18" s="5" t="inlineStr">
        <is>
          <t>1 CNY ≈ 4.95 THB</t>
        </is>
      </c>
      <c r="C18" s="5" t="inlineStr"/>
      <c r="D18" s="5" t="inlineStr"/>
    </row>
    <row r="19" ht="34" customHeight="1">
      <c r="A19" s="4" t="inlineStr">
        <is>
          <t>🔒 ความเป็นส่วนตัว</t>
        </is>
      </c>
      <c r="B19" s="5" t="inlineStr">
        <is>
          <t>อย่าเผยแพร่เลขบุ๊กกิ้ง/PIN ในลิงก์สาธารณะ</t>
        </is>
      </c>
      <c r="C19" s="5" t="inlineStr"/>
      <c r="D1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4" customWidth="1" min="4" max="4"/>
    <col width="14" customWidth="1" min="5" max="5"/>
    <col width="52" customWidth="1" min="6" max="6"/>
  </cols>
  <sheetData>
    <row r="1" ht="30" customHeight="1">
      <c r="A1" s="1" t="inlineStr">
        <is>
          <t>งบประมาณ v4 — จ่ายแล้ว + พกไป + เมนูอัปเกรด (แก้ตัวเลขได้)</t>
        </is>
      </c>
      <c r="B1" s="2" t="n"/>
      <c r="C1" s="2" t="n"/>
      <c r="D1" s="2" t="n"/>
      <c r="E1" s="2" t="n"/>
      <c r="F1" s="2" t="n"/>
    </row>
    <row r="3" ht="30" customHeight="1">
      <c r="A3" s="10" t="inlineStr">
        <is>
          <t>#</t>
        </is>
      </c>
      <c r="B3" s="10" t="inlineStr">
        <is>
          <t>รายการ</t>
        </is>
      </c>
      <c r="C3" s="10" t="inlineStr">
        <is>
          <t>หยวน ¥</t>
        </is>
      </c>
      <c r="D3" s="10" t="inlineStr">
        <is>
          <t>บาท ฿</t>
        </is>
      </c>
      <c r="E3" s="10" t="inlineStr">
        <is>
          <t>% รวม</t>
        </is>
      </c>
      <c r="F3" s="10" t="inlineStr">
        <is>
          <t>หมายเหตุ</t>
        </is>
      </c>
    </row>
    <row r="4" ht="34" customHeight="1">
      <c r="A4" s="11" t="inlineStr">
        <is>
          <t>P1</t>
        </is>
      </c>
      <c r="B4" s="12" t="inlineStr">
        <is>
          <t>✈️ ตั๋ว 9C7282/9C7283 (จ่ายแล้ว)</t>
        </is>
      </c>
      <c r="C4" s="13" t="inlineStr"/>
      <c r="D4" s="14" t="n">
        <v>9922</v>
      </c>
      <c r="E4" s="15" t="n"/>
      <c r="F4" s="16" t="inlineStr">
        <is>
          <t>โลว์คอสต์: ไม่มีอาหารบนเครื่อง • เช็กโควตากระเป๋าโหลด</t>
        </is>
      </c>
    </row>
    <row r="5" ht="34" customHeight="1">
      <c r="A5" s="11" t="inlineStr">
        <is>
          <t>P2</t>
        </is>
      </c>
      <c r="B5" s="12" t="inlineStr">
        <is>
          <t>🏨 สวีท 3 นอน 5 คืน (จ่ายแล้ว)</t>
        </is>
      </c>
      <c r="C5" s="13" t="n">
        <v>1158</v>
      </c>
      <c r="D5" s="14">
        <f>C5*4.95</f>
        <v/>
      </c>
      <c r="E5" s="15" t="n"/>
      <c r="F5" s="16" t="inlineStr">
        <is>
          <t>40,082.32 ÷ 7 • ไม่มีอาหารเช้า • เช็กอินถึง 23:30</t>
        </is>
      </c>
    </row>
    <row r="6" ht="34" customHeight="1">
      <c r="A6" s="17" t="inlineStr">
        <is>
          <t>R1</t>
        </is>
      </c>
      <c r="B6" s="18" t="inlineStr">
        <is>
          <t>🚕 แท็กซี่สนามบิน 2 คัน ไป–กลับ</t>
        </is>
      </c>
      <c r="C6" s="19" t="n">
        <v>130</v>
      </c>
      <c r="D6" s="20">
        <f>C6*4.95</f>
        <v/>
      </c>
      <c r="E6" s="21" t="n"/>
      <c r="F6" s="22" t="inlineStr">
        <is>
          <t>PVG⇄จิ้งอัน ¥200–240/คัน/เที่ยว ×2 คัน ÷7 ×2 เที่ยว</t>
        </is>
      </c>
    </row>
    <row r="7" ht="34" customHeight="1">
      <c r="A7" s="17" t="inlineStr">
        <is>
          <t>R2</t>
        </is>
      </c>
      <c r="B7" s="18" t="inlineStr">
        <is>
          <t>🚇 Metro/Didi/เฟอร์รี่/แท็กซี่ hop</t>
        </is>
      </c>
      <c r="C7" s="19" t="n">
        <v>129</v>
      </c>
      <c r="D7" s="20">
        <f>C7*4.95</f>
        <v/>
      </c>
      <c r="E7" s="21" t="n"/>
      <c r="F7" s="22" t="inlineStr">
        <is>
          <t>Metro ¥3–9/เที่ยว (QR Alipay) • แท็กซี่ hop หงโข่ว 1 ครั้ง ¥8/คน • เผื่อ Didi วันฝน</t>
        </is>
      </c>
    </row>
    <row r="8" ht="34" customHeight="1">
      <c r="A8" s="17" t="inlineStr">
        <is>
          <t>R3</t>
        </is>
      </c>
      <c r="B8" s="18" t="inlineStr">
        <is>
          <t>🎫 ตั๋วเข้าชมรวม</t>
        </is>
      </c>
      <c r="C8" s="19" t="n">
        <v>329</v>
      </c>
      <c r="D8" s="20">
        <f>C8*4.95</f>
        <v/>
      </c>
      <c r="E8" s="21" t="n"/>
      <c r="F8" s="22" t="inlineStr">
        <is>
          <t>NatHist ¥30 + Yu Garden ¥30 + Christkindl ¥35 + ดาราศาสตร์ ¥30 + Aquarium ¥122 + เฟอร์รี่ ¥2 + Shikumen ¥20 + ไปรษณีย์ ¥10 + คาเฟ่กิงโกะ ¥40</t>
        </is>
      </c>
    </row>
    <row r="9" ht="34" customHeight="1">
      <c r="A9" s="17" t="inlineStr">
        <is>
          <t>R4</t>
        </is>
      </c>
      <c r="B9" s="18" t="inlineStr">
        <is>
          <t>🍜 อาหาร 6 วัน</t>
        </is>
      </c>
      <c r="C9" s="19" t="n">
        <v>800</v>
      </c>
      <c r="D9" s="20">
        <f>C9*4.95</f>
        <v/>
      </c>
      <c r="E9" s="21" t="n"/>
      <c r="F9" s="22" t="inlineStr">
        <is>
          <t>¥133/วัน ≈ 660 บาท/วัน • รวมมื้อพิเศษ 2 (Haidilao เสาร์ + ส่งท้ายจิ้งอัน จันทร์) • ใช้ตู้เย็นสวีทช่วยมื้อเช้า</t>
        </is>
      </c>
    </row>
    <row r="10" ht="34" customHeight="1">
      <c r="A10" s="17" t="inlineStr">
        <is>
          <t>R5</t>
        </is>
      </c>
      <c r="B10" s="18" t="inlineStr">
        <is>
          <t>📱 eSIM + ประกันเดินทาง</t>
        </is>
      </c>
      <c r="C10" s="19" t="inlineStr"/>
      <c r="D10" s="20" t="n">
        <v>900</v>
      </c>
      <c r="E10" s="21" t="n"/>
      <c r="F10" s="22" t="inlineStr">
        <is>
          <t>eSIM โรมมิ่ง 6 วัน ~350 + ประกัน ~550</t>
        </is>
      </c>
    </row>
    <row r="11" ht="34" customHeight="1">
      <c r="A11" s="17" t="inlineStr">
        <is>
          <t>R6</t>
        </is>
      </c>
      <c r="B11" s="18" t="inlineStr">
        <is>
          <t>🎄 จิปาถะ/ตลาด/น้ำ</t>
        </is>
      </c>
      <c r="C11" s="19" t="n">
        <v>55</v>
      </c>
      <c r="D11" s="20">
        <f>C11*4.95</f>
        <v/>
      </c>
      <c r="E11" s="21" t="n"/>
      <c r="F11" s="22" t="inlineStr">
        <is>
          <t>ไวน์ร้อน ขนม น้ำ • ตลาด Xintiandi/Kerry เข้าฟรี</t>
        </is>
      </c>
    </row>
    <row r="12" ht="22" customHeight="1">
      <c r="A12" s="15" t="inlineStr"/>
      <c r="B12" s="12" t="inlineStr">
        <is>
          <t>🧾 รวมจ่ายแล้ว</t>
        </is>
      </c>
      <c r="C12" s="15" t="inlineStr"/>
      <c r="D12" s="23">
        <f>SUM(D4:D5)</f>
        <v/>
      </c>
      <c r="E12" s="15" t="inlineStr"/>
      <c r="F12" s="15" t="inlineStr"/>
    </row>
    <row r="13" ht="22" customHeight="1">
      <c r="A13" s="24" t="inlineStr"/>
      <c r="B13" s="25" t="inlineStr">
        <is>
          <t>🎒 รวมต้องพกไป</t>
        </is>
      </c>
      <c r="C13" s="24" t="inlineStr"/>
      <c r="D13" s="26">
        <f>SUM(D6:D11)</f>
        <v/>
      </c>
      <c r="E13" s="24" t="inlineStr"/>
      <c r="F13" s="24" t="inlineStr"/>
    </row>
    <row r="14" ht="26" customHeight="1">
      <c r="A14" s="7" t="inlineStr"/>
      <c r="B14" s="27" t="inlineStr">
        <is>
          <t>✅ รวมทั้งทริป / คน</t>
        </is>
      </c>
      <c r="C14" s="7" t="inlineStr"/>
      <c r="D14" s="28">
        <f>D12+D13</f>
        <v/>
      </c>
      <c r="E14" s="29">
        <f>D14/D14</f>
        <v/>
      </c>
      <c r="F14" s="6" t="inlineStr"/>
    </row>
    <row r="15" ht="22" customHeight="1">
      <c r="A15" s="30" t="inlineStr"/>
      <c r="B15" s="31" t="inlineStr">
        <is>
          <t>👥 รวมทั้งกรุ๊ป 7 คน</t>
        </is>
      </c>
      <c r="C15" s="30" t="inlineStr"/>
      <c r="D15" s="32">
        <f>D14*7</f>
        <v/>
      </c>
      <c r="E15" s="30" t="inlineStr"/>
      <c r="F15" s="30" t="inlineStr"/>
    </row>
    <row r="16" ht="24" customHeight="1">
      <c r="A16" s="33" t="inlineStr"/>
      <c r="B16" s="34" t="inlineStr">
        <is>
          <t>💰 ควรพก/กันไว้ต่อคน (+ฉุกเฉิน 10%)</t>
        </is>
      </c>
      <c r="C16" s="33" t="inlineStr"/>
      <c r="D16" s="35">
        <f>D13*1.1</f>
        <v/>
      </c>
      <c r="E16" s="33" t="inlineStr"/>
      <c r="F16" s="33" t="inlineStr">
        <is>
          <t>ยังไม่รวมช้อปปิ้ง</t>
        </is>
      </c>
    </row>
    <row r="18" ht="20" customHeight="1">
      <c r="A18" s="36" t="inlineStr">
        <is>
          <t>➕ เมนูอัปเกรด (เติมได้ตามกำลัง — บวกลงช่องว่างด้านล่างได้)</t>
        </is>
      </c>
    </row>
    <row r="19" ht="26" customHeight="1">
      <c r="A19" s="37" t="n"/>
      <c r="B19" s="38" t="inlineStr">
        <is>
          <t>🚢 ล่องเรือแม่น้ำหวงผู่ ท่า 16 คืนศุกร์ 20:00</t>
        </is>
      </c>
      <c r="C19" s="39" t="n">
        <v>106</v>
      </c>
      <c r="D19" s="39" t="n">
        <v>525</v>
      </c>
      <c r="E19" s="37" t="n"/>
      <c r="F19" s="38" t="inlineStr">
        <is>
          <t>โปร Trip.com ฿524.78 (ลด 12%) • แทน/เสริมเฟอร์รี่ ¥2</t>
        </is>
      </c>
    </row>
    <row r="20" ht="26" customHeight="1">
      <c r="A20" s="37" t="n"/>
      <c r="B20" s="38" t="inlineStr">
        <is>
          <t>🌿 Greenhouse Garden ใน Expo Culture Park</t>
        </is>
      </c>
      <c r="C20" s="39" t="n">
        <v>120</v>
      </c>
      <c r="D20" s="39" t="n">
        <v>594</v>
      </c>
      <c r="E20" s="37" t="n"/>
      <c r="F20" s="38" t="inlineStr">
        <is>
          <t>เรือนกระจกในร่มอุ่น • ตั๋วหน้างาน/ออนไลน์</t>
        </is>
      </c>
    </row>
    <row r="21" ht="26" customHeight="1">
      <c r="A21" s="37" t="n"/>
      <c r="B21" s="38" t="inlineStr">
        <is>
          <t>🏗️ Shanghai Tower ชั้น 118</t>
        </is>
      </c>
      <c r="C21" s="39" t="n">
        <v>180</v>
      </c>
      <c r="D21" s="39" t="n">
        <v>891</v>
      </c>
      <c r="E21" s="37" t="n"/>
      <c r="F21" s="38" t="inlineStr">
        <is>
          <t>วิว 360° สูงสุดในจีน • จองออนไลน์ถูกกว่า</t>
        </is>
      </c>
    </row>
    <row r="22" ht="26" customHeight="1">
      <c r="A22" s="37" t="n"/>
      <c r="B22" s="38" t="inlineStr">
        <is>
          <t>💆 นวดเท้า/นวดจีน 90 นาที</t>
        </is>
      </c>
      <c r="C22" s="39" t="n">
        <v>180</v>
      </c>
      <c r="D22" s="39" t="n">
        <v>891</v>
      </c>
      <c r="E22" s="37" t="n"/>
      <c r="F22" s="38" t="inlineStr">
        <is>
          <t>แนะนำหลังวันอาทิตย์ที่เดินทางไกล</t>
        </is>
      </c>
    </row>
    <row r="23" ht="26" customHeight="1">
      <c r="A23" s="37" t="n"/>
      <c r="B23" s="38" t="inlineStr">
        <is>
          <t xml:space="preserve"> รูฟท็อปบาร์ Vue/Char</t>
        </is>
      </c>
      <c r="C23" s="39" t="n">
        <v>100</v>
      </c>
      <c r="D23" s="39" t="n">
        <v>495</v>
      </c>
      <c r="E23" s="37" t="n"/>
      <c r="F23" s="38" t="inlineStr">
        <is>
          <t>วิว Bund ปิดทริป</t>
        </is>
      </c>
    </row>
    <row r="25" ht="44" customHeight="1">
      <c r="A25" s="40" t="inlineStr">
        <is>
          <t>➖ ช่องทางบีบงบถ้าต้องกลับเพดาน 20,000: สวิตช์วันอาทิตย์เป็นเวอร์ชันฟรี (Museum East + Century Park) −¥160 • ตัด Aquarium −¥122 • กิน ¥100/วัน −¥1,000 • แต่ตั๋ว+โรงแรมจริงกินไป 78% ของเพดานแล้ว — เพดานเดิมแทบเป็นไปไม่ได้ถ้ากินอิ่ม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34" customWidth="1" min="8" max="8"/>
  </cols>
  <sheetData>
    <row r="1" ht="30" customHeight="1">
      <c r="A1" s="1" t="inlineStr">
        <is>
          <t>ค่าใช้จ่ายรายวัน v4 (ต่อคน)</t>
        </is>
      </c>
      <c r="B1" s="2" t="n"/>
      <c r="C1" s="2" t="n"/>
      <c r="D1" s="2" t="n"/>
      <c r="E1" s="2" t="n"/>
      <c r="F1" s="2" t="n"/>
      <c r="G1" s="2" t="n"/>
      <c r="H1" s="2" t="n"/>
    </row>
    <row r="3" ht="30" customHeight="1">
      <c r="A3" s="10" t="inlineStr">
        <is>
          <t>วัน</t>
        </is>
      </c>
      <c r="B3" s="10" t="inlineStr">
        <is>
          <t>โปรแกรมหลัก</t>
        </is>
      </c>
      <c r="C3" s="10" t="inlineStr">
        <is>
          <t>ตั๋ว ¥</t>
        </is>
      </c>
      <c r="D3" s="10" t="inlineStr">
        <is>
          <t>กิน ¥</t>
        </is>
      </c>
      <c r="E3" s="10" t="inlineStr">
        <is>
          <t>เดินทาง ¥</t>
        </is>
      </c>
      <c r="F3" s="10" t="inlineStr">
        <is>
          <t>รวม ¥</t>
        </is>
      </c>
      <c r="G3" s="10" t="inlineStr">
        <is>
          <t>≈ บาท</t>
        </is>
      </c>
      <c r="H3" s="10" t="inlineStr">
        <is>
          <t>เส้นเดินทาง</t>
        </is>
      </c>
    </row>
    <row r="4" ht="74" customHeight="1">
      <c r="A4" s="41" t="inlineStr">
        <is>
          <t>พฤหัส 10 ธ.ค.</t>
        </is>
      </c>
      <c r="B4" s="42" t="inlineStr">
        <is>
          <t>9C7282 BKK 14:45→PVG 20:05 (กินเที่ยงที่ BKK) • แท็กซี่ 2 คันเข้าจิ้งอัน • เช็คอิน ~22:15 • มื้อดึก convenience</t>
        </is>
      </c>
      <c r="C4" s="43" t="n">
        <v>0</v>
      </c>
      <c r="D4" s="43" t="n">
        <v>20</v>
      </c>
      <c r="E4" s="43" t="n">
        <v>65</v>
      </c>
      <c r="F4" s="44">
        <f>SUM(C4:E4)</f>
        <v/>
      </c>
      <c r="G4" s="45">
        <f>F4*4.95</f>
        <v/>
      </c>
      <c r="H4" s="42" t="inlineStr">
        <is>
          <t>แท็กซี่สนามบิน + เดิน</t>
        </is>
      </c>
    </row>
    <row r="5" ht="74" customHeight="1">
      <c r="A5" s="41" t="inlineStr">
        <is>
          <t>ศุกร์ 11 ธ.ค.</t>
        </is>
      </c>
      <c r="B5" s="42" t="inlineStr">
        <is>
          <t>NatHist (09:00) → อวี้หยวน+วัดเฉิงหวง → Huxinting → Nanxiang → หนานจิง (ช้อป1) → ไปรษณีย์박물관 → North Bund กันเซ็ต → Rockbund/Lihe/Shamei → Christkindlmarkt → ข้าวค่ำ Bund Source → Bund กลางคืน</t>
        </is>
      </c>
      <c r="C5" s="43" t="n">
        <v>105</v>
      </c>
      <c r="D5" s="43" t="n">
        <v>255</v>
      </c>
      <c r="E5" s="43" t="n">
        <v>12</v>
      </c>
      <c r="F5" s="44">
        <f>SUM(C5:E5)</f>
        <v/>
      </c>
      <c r="G5" s="45">
        <f>F5*4.95</f>
        <v/>
      </c>
      <c r="H5" s="42" t="inlineStr">
        <is>
          <t>Line 13+10 ไป • เดินเลียบแม่น้ำทั้งบ่าย • Line 2 กลับ</t>
        </is>
      </c>
    </row>
    <row r="6" ht="74" customHeight="1">
      <c r="A6" s="41" t="inlineStr">
        <is>
          <t>เสาร์ 12 ธ.ค.</t>
        </is>
      </c>
      <c r="B6" s="42" t="inlineStr">
        <is>
          <t>กิงโกะ Huangjincheng+Manner → Wukang Mansion+Rd → Anfu (เที่ยง) → Huaihai → Sinan → กิงโกะ Ruijin → Tianzifang → Xintiandi+Shikumen → ตลาดคริสต์มาส → Haidilao</t>
        </is>
      </c>
      <c r="C6" s="43" t="n">
        <v>20</v>
      </c>
      <c r="D6" s="43" t="n">
        <v>275</v>
      </c>
      <c r="E6" s="43" t="n">
        <v>12</v>
      </c>
      <c r="F6" s="44">
        <f>SUM(C6:E6)</f>
        <v/>
      </c>
      <c r="G6" s="45">
        <f>F6*4.95</f>
        <v/>
      </c>
      <c r="H6" s="42" t="inlineStr">
        <is>
          <t>Line 10 เส้นเดียวทะลุตะวันตก→ตะวันออก • Line 13 กลับตรง</t>
        </is>
      </c>
    </row>
    <row r="7" ht="74" customHeight="1">
      <c r="A7" s="41" t="inlineStr">
        <is>
          <t>อาทิตย์ 13 ธ.ค.</t>
        </is>
      </c>
      <c r="B7" s="42" t="inlineStr">
        <is>
          <t>🔭 พิพิธภัณฑ์ดาราศาสตร์ (จอง!) → ทะเลสาบ Dishui (เที่ยง) → Expo Culture Park (+Greenhouse) → กิงโกะ Jumen Rd แสงเย็น → ข้าวค่ำโซน Expo Puxi</t>
        </is>
      </c>
      <c r="C7" s="43" t="n">
        <v>30</v>
      </c>
      <c r="D7" s="43" t="n">
        <v>165</v>
      </c>
      <c r="E7" s="43" t="n">
        <v>34</v>
      </c>
      <c r="F7" s="44">
        <f>SUM(C7:E7)</f>
        <v/>
      </c>
      <c r="G7" s="45">
        <f>F7*4.95</f>
        <v/>
      </c>
      <c r="H7" s="42" t="inlineStr">
        <is>
          <t>Line 2→16 ออกไกลสุด → ไลกลับ 7/8 → ข้าม Lupu → Line 13 ส่งถึงบ้าน</t>
        </is>
      </c>
    </row>
    <row r="8" ht="74" customHeight="1">
      <c r="A8" s="41" t="inlineStr">
        <is>
          <t>จันทร์ 14 ธ.ค.</t>
        </is>
      </c>
      <c r="B8" s="42" t="inlineStr">
        <is>
          <t>กิงโกะ Concert Hall → กิงโกะ Wenshui → (แท็กซี่ hop) 1933 Old Millfun → Duolun → เที่ยงหงโข่ว → Tian'ai → Lujiazui: สะพานวงแหวน+Ocean Aquarium+IFC/City Super (ช้อป2) → เฟอร์รี่ ¥2 → Bund ไฟ → วัดจิ้งอันไฟค่ำ+Kerry Market → มื้อส่งท้าย → เดินกลับ</t>
        </is>
      </c>
      <c r="C8" s="43" t="n">
        <v>127</v>
      </c>
      <c r="D8" s="43" t="n">
        <v>205</v>
      </c>
      <c r="E8" s="43" t="n">
        <v>24</v>
      </c>
      <c r="F8" s="44">
        <f>SUM(C8:E8)</f>
        <v/>
      </c>
      <c r="G8" s="45">
        <f>F8*4.95</f>
        <v/>
      </c>
      <c r="H8" s="42" t="inlineStr">
        <is>
          <t>วงกลมตามเข็ม: กลาง→เหนือ→ตะวันออก→กลับตะวันตก (Line 2)</t>
        </is>
      </c>
    </row>
    <row r="9" ht="74" customHeight="1">
      <c r="A9" s="41" t="inlineStr">
        <is>
          <t>อังคาร 15 ธ.ค.</t>
        </is>
      </c>
      <c r="B9" s="42" t="inlineStr">
        <is>
          <t>แพ็ก+ชั่งกระเป๋า → เช้า 07:30 → เช็กเอาต์ 08:00 → แท็กซี่ 08:15 → PVG 09:15 → 9C7283 12:00 → BKK 15:45</t>
        </is>
      </c>
      <c r="C9" s="43" t="n">
        <v>0</v>
      </c>
      <c r="D9" s="43" t="n">
        <v>45</v>
      </c>
      <c r="E9" s="43" t="n">
        <v>65</v>
      </c>
      <c r="F9" s="44">
        <f>SUM(C9:E9)</f>
        <v/>
      </c>
      <c r="G9" s="45">
        <f>F9*4.95</f>
        <v/>
      </c>
      <c r="H9" s="42" t="inlineStr">
        <is>
          <t>แท็กซี่สนามบิน</t>
        </is>
      </c>
    </row>
    <row r="10" ht="24" customHeight="1">
      <c r="A10" s="46" t="inlineStr">
        <is>
          <t>รวม</t>
        </is>
      </c>
      <c r="B10" s="47" t="inlineStr"/>
      <c r="C10" s="48">
        <f>SUM(C4:C9)</f>
        <v/>
      </c>
      <c r="D10" s="48">
        <f>SUM(D4:D9)</f>
        <v/>
      </c>
      <c r="E10" s="48">
        <f>SUM(E4:E9)</f>
        <v/>
      </c>
      <c r="F10" s="49">
        <f>SUM(F4:F9)</f>
        <v/>
      </c>
      <c r="G10" s="50">
        <f>SUM(G4:G9)</f>
        <v/>
      </c>
      <c r="H10" s="47" t="inlineStr"/>
    </row>
    <row r="12" ht="26" customHeight="1">
      <c r="A12" s="40" t="inlineStr">
        <is>
          <t>ยังไม่รวม eSIM+ประกัน (900) และจิปาถะ (270) • แท็กซี่สนามบินอยู่ในคอลัมน์เดินทางแล้ว • อัปเกรด (ล่องเรือ/Greenhouse/Tower/นวด) ดูชีต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26" customWidth="1" min="4" max="4"/>
    <col width="46" customWidth="1" min="5" max="5"/>
  </cols>
  <sheetData>
    <row r="1" ht="30" customHeight="1">
      <c r="A1" s="1" t="inlineStr">
        <is>
          <t>🎫 ค่าเข้าชม v4 (ราคาจริงจากสกรีนช็อต Trip.com) + 🆓 ฟรี</t>
        </is>
      </c>
      <c r="B1" s="2" t="n"/>
      <c r="C1" s="2" t="n"/>
      <c r="D1" s="2" t="n"/>
      <c r="E1" s="2" t="n"/>
    </row>
    <row r="3" ht="30" customHeight="1">
      <c r="A3" s="10" t="inlineStr">
        <is>
          <t>สถานที่</t>
        </is>
      </c>
      <c r="B3" s="10" t="inlineStr">
        <is>
          <t>ราคา</t>
        </is>
      </c>
      <c r="C3" s="10" t="inlineStr">
        <is>
          <t>¥</t>
        </is>
      </c>
      <c r="D3" s="10" t="inlineStr">
        <is>
          <t>เวลา/ข้อจำกัด</t>
        </is>
      </c>
      <c r="E3" s="10" t="inlineStr">
        <is>
          <t>หมายเหตุ</t>
        </is>
      </c>
    </row>
    <row r="4" ht="30" customHeight="1">
      <c r="A4" s="51" t="inlineStr">
        <is>
          <t>🔭 พิพิธภัณฑ์ดาราศาสตร์เซี่ยงไฮ้ 上海天文馆</t>
        </is>
      </c>
      <c r="B4" s="52" t="inlineStr">
        <is>
          <t>฿150.66</t>
        </is>
      </c>
      <c r="C4" s="43" t="n">
        <v>30</v>
      </c>
      <c r="D4" s="42" t="inlineStr">
        <is>
          <t>ปิดจันทร์ • ต้องจองล่วงหน้า ~7 วัน</t>
        </is>
      </c>
      <c r="E4" s="42" t="inlineStr">
        <is>
          <t>4.8★ 9,346 รีวิว • Trip.Best Asia 100 • ล็อกวันอาทิตย์ 13 ธ.ค.</t>
        </is>
      </c>
    </row>
    <row r="5" ht="30" customHeight="1">
      <c r="A5" s="51" t="inlineStr">
        <is>
          <t>🏛️ พิพิธภัณฑ์ประวัติศาสตร์ธรรมชาติ 上海自然博物馆</t>
        </is>
      </c>
      <c r="B5" s="52" t="inlineStr">
        <is>
          <t>฿150.66</t>
        </is>
      </c>
      <c r="C5" s="43" t="n">
        <v>30</v>
      </c>
      <c r="D5" s="42" t="inlineStr">
        <is>
          <t>09:00–17:00 • ปิดจันทร์</t>
        </is>
      </c>
      <c r="E5" s="42" t="inlineStr">
        <is>
          <t>4.7★ 10,799 รีวิว • «อยู่ห่างโรงแรม 500 ม.» เริ่มเช้าวันศุกร์</t>
        </is>
      </c>
    </row>
    <row r="6" ht="30" customHeight="1">
      <c r="A6" s="51" t="inlineStr">
        <is>
          <t>🐠 Shanghai Ocean Aquarium 上海海洋水族馆</t>
        </is>
      </c>
      <c r="B6" s="52" t="inlineStr">
        <is>
          <t>฿602.63</t>
        </is>
      </c>
      <c r="C6" s="43" t="n">
        <v>122</v>
      </c>
      <c r="D6" s="42" t="inlineStr">
        <is>
          <t>09:00–18:00 (เข้าก่อน ~17:00)</t>
        </is>
      </c>
      <c r="E6" s="42" t="inlineStr">
        <is>
          <t>4.7★ 50,890 รีวิว • อุโมงค์ใต้น้ำ • ล็อกจันทร์ 15:30</t>
        </is>
      </c>
    </row>
    <row r="7" ht="30" customHeight="1">
      <c r="A7" s="51" t="inlineStr">
        <is>
          <t>🌳 สวนอวี้หยวน 豫园</t>
        </is>
      </c>
      <c r="B7" s="52" t="inlineStr">
        <is>
          <t>¥30</t>
        </is>
      </c>
      <c r="C7" s="43" t="n">
        <v>30</v>
      </c>
      <c r="D7" s="42" t="inlineStr">
        <is>
          <t>09:00–16:30 • ปิดจันทร์</t>
        </is>
      </c>
      <c r="E7" s="42" t="inlineStr">
        <is>
          <t>ไปศุกร์ 10:50 ก่อนคนแน่น</t>
        </is>
      </c>
    </row>
    <row r="8" ht="30" customHeight="1">
      <c r="A8" s="51" t="inlineStr">
        <is>
          <t>🎄 Christkindlmarkt 外滩源</t>
        </is>
      </c>
      <c r="B8" s="52" t="inlineStr">
        <is>
          <t>¥30–40</t>
        </is>
      </c>
      <c r="C8" s="43" t="n">
        <v>35</v>
      </c>
      <c r="D8" s="42" t="inlineStr">
        <is>
          <t>ถึง ~28 ธ.ค. • ปิดจันทร์–อังคาร</t>
        </is>
      </c>
      <c r="E8" s="42" t="inlineStr">
        <is>
          <t>ไปศุกร์เย็น ✅ ~45 ร้าน</t>
        </is>
      </c>
    </row>
    <row r="9" ht="30" customHeight="1">
      <c r="A9" s="51" t="inlineStr">
        <is>
          <t>🏮 Shikumen Open House Museum</t>
        </is>
      </c>
      <c r="B9" s="52" t="inlineStr">
        <is>
          <t>¥20</t>
        </is>
      </c>
      <c r="C9" s="43" t="n">
        <v>20</v>
      </c>
      <c r="D9" s="42" t="inlineStr">
        <is>
          <t>10:30–22:30</t>
        </is>
      </c>
      <c r="E9" s="42" t="inlineStr">
        <is>
          <t>บ้านเซี่ยงไฮ้ยุค 1920 (เสาร์)</t>
        </is>
      </c>
    </row>
    <row r="10" ht="30" customHeight="1">
      <c r="A10" s="51" t="inlineStr">
        <is>
          <t>🏛️ พิพิธภัณฑ์ไปรษณีย์ 上海邮政博物馆</t>
        </is>
      </c>
      <c r="B10" s="52" t="inlineStr">
        <is>
          <t>¥0–10</t>
        </is>
      </c>
      <c r="C10" s="43" t="n">
        <v>10</v>
      </c>
      <c r="D10" s="42" t="inlineStr">
        <is>
          <t>09:00–17:00 เข้าถึง ~16:00 • ปิดจันทร์</t>
        </is>
      </c>
      <c r="E10" s="42" t="inlineStr">
        <is>
          <t>โถงบาร์ร็อค+หอนาฬิกา (ศุกร์ 15:35)</t>
        </is>
      </c>
    </row>
    <row r="11" ht="30" customHeight="1">
      <c r="A11" s="51" t="inlineStr">
        <is>
          <t>⛴️ เฟอร์รี่ข้ามฟากฮวงปู่ 金陵东路渡口</t>
        </is>
      </c>
      <c r="B11" s="52" t="inlineStr">
        <is>
          <t>¥2</t>
        </is>
      </c>
      <c r="C11" s="43" t="n">
        <v>2</v>
      </c>
      <c r="D11" s="42" t="inlineStr">
        <is>
          <t>07:00–22:00 ทุก 15 นาที</t>
        </is>
      </c>
      <c r="E11" s="42" t="inlineStr">
        <is>
          <t>จันทร์เย็น 18:20 วิวไฟทั้งสองฝั่ง</t>
        </is>
      </c>
    </row>
    <row r="12" ht="30" customHeight="1">
      <c r="A12" s="53" t="inlineStr">
        <is>
          <t>🚢 ล่องเรือท่า 16 (十六铺) 45–50 นาที (อัปเกรด)</t>
        </is>
      </c>
      <c r="B12" s="54" t="inlineStr">
        <is>
          <t>฿524.78</t>
        </is>
      </c>
      <c r="C12" s="39" t="n">
        <v>106</v>
      </c>
      <c r="D12" s="38" t="inlineStr">
        <is>
          <t>รอบเย็นถึง ~21:30</t>
        </is>
      </c>
      <c r="E12" s="38" t="inlineStr">
        <is>
          <t>โปรลด 12% • แทน/เสริมศุกร์ 20:00</t>
        </is>
      </c>
    </row>
    <row r="13" ht="30" customHeight="1">
      <c r="A13" s="53" t="inlineStr">
        <is>
          <t>🌿 Greenhouse Garden ใน Expo Culture Park (อัปเกรด)</t>
        </is>
      </c>
      <c r="B13" s="54" t="inlineStr">
        <is>
          <t>~¥120</t>
        </is>
      </c>
      <c r="C13" s="39" t="n">
        <v>120</v>
      </c>
      <c r="D13" s="38" t="inlineStr">
        <is>
          <t>ตามเวลาสวน</t>
        </is>
      </c>
      <c r="E13" s="38" t="inlineStr">
        <is>
          <t>เรือนกระจกในร่มอุ่น (อาทิตย์)</t>
        </is>
      </c>
    </row>
    <row r="14" ht="30" customHeight="1">
      <c r="A14" s="53" t="inlineStr">
        <is>
          <t>🏗️ Shanghai Tower ชั้น 118 (อัปเกรด)</t>
        </is>
      </c>
      <c r="B14" s="54" t="inlineStr">
        <is>
          <t>¥180</t>
        </is>
      </c>
      <c r="C14" s="39" t="n">
        <v>180</v>
      </c>
      <c r="D14" s="38" t="inlineStr">
        <is>
          <t>08:30–21:30</t>
        </is>
      </c>
      <c r="E14" s="38" t="inlineStr">
        <is>
          <t>วิว 360° สูงสุดในจีน</t>
        </is>
      </c>
    </row>
    <row r="15" ht="30" customHeight="1">
      <c r="A15" s="53" t="inlineStr">
        <is>
          <t>💆 นวด 90 นาที (อัปเกรด)</t>
        </is>
      </c>
      <c r="B15" s="54" t="inlineStr">
        <is>
          <t>¥180</t>
        </is>
      </c>
      <c r="C15" s="39" t="n">
        <v>180</v>
      </c>
      <c r="D15" s="38" t="inlineStr">
        <is>
          <t>10:00–02:00</t>
        </is>
      </c>
      <c r="E15" s="38" t="inlineStr">
        <is>
          <t>หลังวันอาทิตย์เดินทางไกล</t>
        </is>
      </c>
    </row>
    <row r="16" ht="30" customHeight="1">
      <c r="A16" s="6" t="inlineStr">
        <is>
          <t>The Bund / หนานจิง / Wukang / Anfu / Huaihai / Sinan / Tianzifang / Xintiandi</t>
        </is>
      </c>
      <c r="B16" s="55" t="inlineStr">
        <is>
          <t>ฟรี</t>
        </is>
      </c>
      <c r="C16" s="56" t="n">
        <v>0</v>
      </c>
      <c r="D16" s="57" t="inlineStr">
        <is>
          <t>ตลอดวัน</t>
        </is>
      </c>
      <c r="E16" s="57" t="inlineStr">
        <is>
          <t>✅ อยู่ในแผน</t>
        </is>
      </c>
    </row>
    <row r="17" ht="30" customHeight="1">
      <c r="A17" s="6" t="inlineStr">
        <is>
          <t>🍂 กิงโกะทั้ง 5 พิกัด (Concert Hall/Wenshui/Huangjincheng/Ruijin/Jumen)</t>
        </is>
      </c>
      <c r="B17" s="55" t="inlineStr">
        <is>
          <t>ฟรี</t>
        </is>
      </c>
      <c r="C17" s="56" t="n">
        <v>0</v>
      </c>
      <c r="D17" s="57" t="inlineStr">
        <is>
          <t>กลางแจ้งตลอดวัน</t>
        </is>
      </c>
      <c r="E17" s="57" t="inlineStr">
        <is>
          <t>Ruijin อาจต้องสั่งเครื่องดื่มในสวน</t>
        </is>
      </c>
    </row>
    <row r="18" ht="30" customHeight="1">
      <c r="A18" s="6" t="inlineStr">
        <is>
          <t>สะพานวงแหวน Lujiazui / North Bund Greenland / Zhang Yuan</t>
        </is>
      </c>
      <c r="B18" s="55" t="inlineStr">
        <is>
          <t>ฟรี</t>
        </is>
      </c>
      <c r="C18" s="56" t="n">
        <v>0</v>
      </c>
      <c r="D18" s="57" t="inlineStr">
        <is>
          <t>ตลอดวัน</t>
        </is>
      </c>
      <c r="E18" s="57" t="inlineStr">
        <is>
          <t>✅ จุดถ่ายรูปหลัก</t>
        </is>
      </c>
    </row>
    <row r="19" ht="30" customHeight="1">
      <c r="A19" s="6" t="inlineStr">
        <is>
          <t>🎄 ตลาดคริสต์มาส Xintiandi + Jing'an Kerry</t>
        </is>
      </c>
      <c r="B19" s="55" t="inlineStr">
        <is>
          <t>ฟรี</t>
        </is>
      </c>
      <c r="C19" s="56" t="n">
        <v>0</v>
      </c>
      <c r="D19" s="57" t="inlineStr">
        <is>
          <t>1–25 ธ.ค. / ถึง 1 ม.ค.</t>
        </is>
      </c>
      <c r="E19" s="57" t="inlineStr">
        <is>
          <t>✅ เสาร์ + จันทร์ค่ำ</t>
        </is>
      </c>
    </row>
    <row r="20" ht="30" customHeight="1">
      <c r="A20" s="6" t="inlineStr">
        <is>
          <t>🏛️ Shanghai Museum East (Plan B)</t>
        </is>
      </c>
      <c r="B20" s="55" t="inlineStr">
        <is>
          <t>ฟรี (จอง)</t>
        </is>
      </c>
      <c r="C20" s="56" t="n">
        <v>0</v>
      </c>
      <c r="D20" s="57" t="inlineStr">
        <is>
          <t>ปิดอังคาร</t>
        </is>
      </c>
      <c r="E20" s="57" t="inlineStr">
        <is>
          <t>สวิตช์วันอาทิตย์ถ้าพลาดจองดาราศาสตร์</t>
        </is>
      </c>
    </row>
    <row r="21" ht="30" customHeight="1">
      <c r="A21" s="6" t="inlineStr">
        <is>
          <t>🌿 Expo Culture Park (ตัวสวน)</t>
        </is>
      </c>
      <c r="B21" s="55" t="inlineStr">
        <is>
          <t>ฟรี</t>
        </is>
      </c>
      <c r="C21" s="56" t="n">
        <v>0</v>
      </c>
      <c r="D21" s="57" t="inlineStr">
        <is>
          <t>ตลอดวัน</t>
        </is>
      </c>
      <c r="E21" s="57" t="inlineStr">
        <is>
          <t>Greenhouse คิดเงินแยก</t>
        </is>
      </c>
    </row>
    <row r="22" ht="30" customHeight="1">
      <c r="A22" s="8" t="inlineStr">
        <is>
          <t xml:space="preserve"> The Starry Band Museum</t>
        </is>
      </c>
      <c r="B22" s="58" t="inlineStr">
        <is>
          <t>฿190.36</t>
        </is>
      </c>
      <c r="C22" s="59" t="n">
        <v>38</v>
      </c>
      <c r="D22" s="60" t="inlineStr">
        <is>
          <t>—</t>
        </is>
      </c>
      <c r="E22" s="60" t="inlineStr">
        <is>
          <t>❌ ตัดออก — 3.9★ (653 รีวิว) ต่ำสุดในลิสต์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16" customWidth="1" min="3" max="3"/>
    <col width="12" customWidth="1" min="4" max="4"/>
    <col width="42" customWidth="1" min="5" max="5"/>
  </cols>
  <sheetData>
    <row r="1" ht="30" customHeight="1">
      <c r="A1" s="1" t="inlineStr">
        <is>
          <t>🚇 เส้นทางจริงทุก hop จากโรงแรมจิ้งอัน (เรียงตามวัน)</t>
        </is>
      </c>
      <c r="B1" s="2" t="n"/>
      <c r="C1" s="2" t="n"/>
      <c r="D1" s="2" t="n"/>
      <c r="E1" s="2" t="n"/>
    </row>
    <row r="3" ht="30" customHeight="1">
      <c r="A3" s="10" t="inlineStr">
        <is>
          <t>วัน/เส้นทาง</t>
        </is>
      </c>
      <c r="B3" s="10" t="inlineStr">
        <is>
          <t>วิธีไป</t>
        </is>
      </c>
      <c r="C3" s="10" t="inlineStr">
        <is>
          <t>เวลา</t>
        </is>
      </c>
      <c r="D3" s="10" t="inlineStr">
        <is>
          <t>¥/คน</t>
        </is>
      </c>
      <c r="E3" s="10" t="inlineStr">
        <is>
          <t>หมายเหตุ</t>
        </is>
      </c>
    </row>
    <row r="4" ht="30" customHeight="1">
      <c r="A4" s="31" t="inlineStr">
        <is>
          <t>พฤหัส: PVG T2 → โรงแรม (~21:15)</t>
        </is>
      </c>
      <c r="B4" s="61" t="inlineStr">
        <is>
          <t>🚕 แท็กซี่ 2 คัน โชว์ 上海市静安区大田路129弄1号A座33层</t>
        </is>
      </c>
      <c r="C4" s="47" t="inlineStr">
        <is>
          <t>60–75 น.</t>
        </is>
      </c>
      <c r="D4" s="47" t="inlineStr">
        <is>
          <t>65</t>
        </is>
      </c>
      <c r="E4" s="61" t="inlineStr">
        <is>
          <t>ถึง ~22:15–22:45 • เช็กอินปิด 23:30</t>
        </is>
      </c>
    </row>
    <row r="5" ht="30" customHeight="1">
      <c r="A5" s="51" t="inlineStr">
        <is>
          <t>ศุกร์: โรงแรม → NatHist</t>
        </is>
      </c>
      <c r="B5" s="42" t="inlineStr">
        <is>
          <t>🚶 เดิน 500 ม.</t>
        </is>
      </c>
      <c r="C5" s="52" t="inlineStr">
        <is>
          <t>7 นาที</t>
        </is>
      </c>
      <c r="D5" s="52" t="inlineStr">
        <is>
          <t>0</t>
        </is>
      </c>
      <c r="E5" s="42" t="inlineStr">
        <is>
          <t>เปิด 09:00</t>
        </is>
      </c>
    </row>
    <row r="6" ht="30" customHeight="1">
      <c r="A6" s="51" t="inlineStr">
        <is>
          <t>ศุกร์: NatHist → อวี้หยวน</t>
        </is>
      </c>
      <c r="B6" s="42" t="inlineStr">
        <is>
          <t>🚇 Line 13 自然博物馆 → 新天地 ต่อ Line 10 → 豫园</t>
        </is>
      </c>
      <c r="C6" s="52" t="inlineStr">
        <is>
          <t>~20 น.</t>
        </is>
      </c>
      <c r="D6" s="52" t="inlineStr">
        <is>
          <t>4</t>
        </is>
      </c>
      <c r="E6" s="42" t="inlineStr"/>
    </row>
    <row r="7" ht="30" customHeight="1">
      <c r="A7" s="51" t="inlineStr">
        <is>
          <t>ศุกร์: Bund → North Bund → Rockbund</t>
        </is>
      </c>
      <c r="B7" s="42" t="inlineStr">
        <is>
          <t>🚶 เดินเลียบแม่น้ำ/ข้าม Garden Bridge</t>
        </is>
      </c>
      <c r="C7" s="52" t="inlineStr">
        <is>
          <t>10–15 น./hop</t>
        </is>
      </c>
      <c r="D7" s="52" t="inlineStr">
        <is>
          <t>0</t>
        </is>
      </c>
      <c r="E7" s="42" t="inlineStr">
        <is>
          <t>เส้นกันเซ็ต 16:20–17:00</t>
        </is>
      </c>
    </row>
    <row r="8" ht="30" customHeight="1">
      <c r="A8" s="51" t="inlineStr">
        <is>
          <t>ศุกร์: กลับโรงแรม</t>
        </is>
      </c>
      <c r="B8" s="42" t="inlineStr">
        <is>
          <t>🚇 Line 2/10 南京东路 → 南京西路 + 🚶 600 ม.</t>
        </is>
      </c>
      <c r="C8" s="52" t="inlineStr">
        <is>
          <t>~15 น.</t>
        </is>
      </c>
      <c r="D8" s="52" t="inlineStr">
        <is>
          <t>4</t>
        </is>
      </c>
      <c r="E8" s="42" t="inlineStr"/>
    </row>
    <row r="9" ht="30" customHeight="1">
      <c r="A9" s="51" t="inlineStr">
        <is>
          <t>เสาร์: โรงแรม → Huangjincheng Rd (กุเป้ย)</t>
        </is>
      </c>
      <c r="B9" s="42" t="inlineStr">
        <is>
          <t>🚇 Line 2 南京西路 → 南京东路 ต่อ Line 10 → 水城路 + 🚶</t>
        </is>
      </c>
      <c r="C9" s="52" t="inlineStr">
        <is>
          <t>~40 น.</t>
        </is>
      </c>
      <c r="D9" s="52" t="inlineStr">
        <is>
          <t>5</t>
        </is>
      </c>
      <c r="E9" s="42" t="inlineStr">
        <is>
          <t>แสงเช้า 9:00–10:30</t>
        </is>
      </c>
    </row>
    <row r="10" ht="30" customHeight="1">
      <c r="A10" s="51" t="inlineStr">
        <is>
          <t>เสาร์: กุเป้ย → Wukang</t>
        </is>
      </c>
      <c r="B10" s="42" t="inlineStr">
        <is>
          <t>🚇 Line 10 水城路 → 上海图书馆 + 🚶 500 ม.</t>
        </is>
      </c>
      <c r="C10" s="52" t="inlineStr">
        <is>
          <t>~15 น.</t>
        </is>
      </c>
      <c r="D10" s="52" t="inlineStr">
        <is>
          <t>4</t>
        </is>
      </c>
      <c r="E10" s="42" t="inlineStr">
        <is>
          <t>เส้นเดียวไหลตะวันออก</t>
        </is>
      </c>
    </row>
    <row r="11" ht="30" customHeight="1">
      <c r="A11" s="51" t="inlineStr">
        <is>
          <t>เสาร์: Sinan/Ruijin → Tianzifang → Xintiandi</t>
        </is>
      </c>
      <c r="B11" s="42" t="inlineStr">
        <is>
          <t>🚶 เดิน 15 น./hop</t>
        </is>
      </c>
      <c r="C11" s="52" t="inlineStr">
        <is>
          <t>—</t>
        </is>
      </c>
      <c r="D11" s="52" t="inlineStr">
        <is>
          <t>0</t>
        </is>
      </c>
      <c r="E11" s="42" t="inlineStr"/>
    </row>
    <row r="12" ht="30" customHeight="1">
      <c r="A12" s="51" t="inlineStr">
        <is>
          <t>เสาร์: กลับโรงแรม</t>
        </is>
      </c>
      <c r="B12" s="42" t="inlineStr">
        <is>
          <t>🚇 Line 13 新天地 → 自然博物馆 ตรง 2 ป้าย + 🚶</t>
        </is>
      </c>
      <c r="C12" s="52" t="inlineStr">
        <is>
          <t>~12 น.</t>
        </is>
      </c>
      <c r="D12" s="52" t="inlineStr">
        <is>
          <t>3</t>
        </is>
      </c>
      <c r="E12" s="42" t="inlineStr"/>
    </row>
    <row r="13" ht="30" customHeight="1">
      <c r="A13" s="31" t="inlineStr">
        <is>
          <t>อาทิตย์: โรงแรม → พิพิธภัณฑ์ดาราศาสตร์</t>
        </is>
      </c>
      <c r="B13" s="61" t="inlineStr">
        <is>
          <t>🚇 Line 2 → 龙阳路 ต่อ Line 16 → 滴水湖 + 🚕 10 น.</t>
        </is>
      </c>
      <c r="C13" s="47" t="inlineStr">
        <is>
          <t>~95 น.</t>
        </is>
      </c>
      <c r="D13" s="47" t="inlineStr">
        <is>
          <t>12</t>
        </is>
      </c>
      <c r="E13" s="61" t="inlineStr">
        <is>
          <t>ออก 08:00 • งีบได้</t>
        </is>
      </c>
    </row>
    <row r="14" ht="30" customHeight="1">
      <c r="A14" s="51" t="inlineStr">
        <is>
          <t>อาทิตย์: ดาราศาสตร์ → Expo Culture Park</t>
        </is>
      </c>
      <c r="B14" s="42" t="inlineStr">
        <is>
          <t>🚇 Line 16 → 龙阳路 ต่อ Line 7 → 耀华路 ต่อ Line 8 → 中华艺术宫</t>
        </is>
      </c>
      <c r="C14" s="52" t="inlineStr">
        <is>
          <t>~50 น.</t>
        </is>
      </c>
      <c r="D14" s="52" t="inlineStr">
        <is>
          <t>8</t>
        </is>
      </c>
      <c r="E14" s="42" t="inlineStr"/>
    </row>
    <row r="15" ht="30" customHeight="1">
      <c r="A15" s="31" t="inlineStr">
        <is>
          <t>อาทิตย์: Expo → Jumen Rd (พูซี)</t>
        </is>
      </c>
      <c r="B15" s="61" t="inlineStr">
        <is>
          <t>🚕 ข้าม Lupu Bridge 2 คัน</t>
        </is>
      </c>
      <c r="C15" s="47" t="inlineStr">
        <is>
          <t>~15 น.</t>
        </is>
      </c>
      <c r="D15" s="47" t="inlineStr">
        <is>
          <t>10</t>
        </is>
      </c>
      <c r="E15" s="61" t="inlineStr">
        <is>
          <t>แสงทอง 16:30–17:15</t>
        </is>
      </c>
    </row>
    <row r="16" ht="30" customHeight="1">
      <c r="A16" s="51" t="inlineStr">
        <is>
          <t>อาทิตย์: Jumen → โรงแรม</t>
        </is>
      </c>
      <c r="B16" s="42" t="inlineStr">
        <is>
          <t>🚇 Line 13 世博会博物馆 → 自然博物馆 ตรง</t>
        </is>
      </c>
      <c r="C16" s="52" t="inlineStr">
        <is>
          <t>~20 น.</t>
        </is>
      </c>
      <c r="D16" s="52" t="inlineStr">
        <is>
          <t>4</t>
        </is>
      </c>
      <c r="E16" s="42" t="inlineStr">
        <is>
          <t>จบไม่ย้อนทาง</t>
        </is>
      </c>
    </row>
    <row r="17" ht="30" customHeight="1">
      <c r="A17" s="51" t="inlineStr">
        <is>
          <t>จันทร์: โรงแรม → Concert Hall (กิงโกะ)</t>
        </is>
      </c>
      <c r="B17" s="42" t="inlineStr">
        <is>
          <t>🚇 Line 2 1 ป้าย → 人民广场 + 🚶 5 น.</t>
        </is>
      </c>
      <c r="C17" s="52" t="inlineStr">
        <is>
          <t>~12 น.</t>
        </is>
      </c>
      <c r="D17" s="52" t="inlineStr">
        <is>
          <t>3</t>
        </is>
      </c>
      <c r="E17" s="42" t="inlineStr">
        <is>
          <t>08:30 แสงเช้า</t>
        </is>
      </c>
    </row>
    <row r="18" ht="30" customHeight="1">
      <c r="A18" s="51" t="inlineStr">
        <is>
          <t>จันทร์: Concert Hall → Wenshui Rd</t>
        </is>
      </c>
      <c r="B18" s="42" t="inlineStr">
        <is>
          <t>🚇 Line 1 人民广场 → 汶水路 (6 ป้าย)</t>
        </is>
      </c>
      <c r="C18" s="52" t="inlineStr">
        <is>
          <t>~20 น.</t>
        </is>
      </c>
      <c r="D18" s="52" t="inlineStr">
        <is>
          <t>4</t>
        </is>
      </c>
      <c r="E18" s="42" t="inlineStr"/>
    </row>
    <row r="19" ht="30" customHeight="1">
      <c r="A19" s="31" t="inlineStr">
        <is>
          <t>จันทร์: Wenshui → 1933 Old Millfun</t>
        </is>
      </c>
      <c r="B19" s="61" t="inlineStr">
        <is>
          <t>🚕 แท็กซี่ 2 คัน ~10 น. (hop เดียวที่คุ้มกว่า Metro 40 น.)</t>
        </is>
      </c>
      <c r="C19" s="47" t="inlineStr">
        <is>
          <t>10 น.</t>
        </is>
      </c>
      <c r="D19" s="47" t="inlineStr">
        <is>
          <t>8</t>
        </is>
      </c>
      <c r="E19" s="61" t="inlineStr">
        <is>
          <t>¥25–30/คัน</t>
        </is>
      </c>
    </row>
    <row r="20" ht="30" customHeight="1">
      <c r="A20" s="51" t="inlineStr">
        <is>
          <t>จันทร์: หงโข่ว → Lujiazui</t>
        </is>
      </c>
      <c r="B20" s="42" t="inlineStr">
        <is>
          <t>🚇 Line 10 海伦路 → 南京东路 ต่อ Line 2 → 陆家嘴</t>
        </is>
      </c>
      <c r="C20" s="52" t="inlineStr">
        <is>
          <t>~35 น.</t>
        </is>
      </c>
      <c r="D20" s="52" t="inlineStr">
        <is>
          <t>5</t>
        </is>
      </c>
      <c r="E20" s="42" t="inlineStr"/>
    </row>
    <row r="21" ht="30" customHeight="1">
      <c r="A21" s="51" t="inlineStr">
        <is>
          <t>จันทร์: Lujiazui → พูซี (เฟอร์รี่)</t>
        </is>
      </c>
      <c r="B21" s="42" t="inlineStr">
        <is>
          <t>⛴️ เฟอร์รี่ ¥2 (东昌路 → 金陵东路)</t>
        </is>
      </c>
      <c r="C21" s="52" t="inlineStr">
        <is>
          <t>10 น.</t>
        </is>
      </c>
      <c r="D21" s="52" t="inlineStr">
        <is>
          <t>2</t>
        </is>
      </c>
      <c r="E21" s="42" t="inlineStr">
        <is>
          <t>วิวไฟกลางน้ำ</t>
        </is>
      </c>
    </row>
    <row r="22" ht="30" customHeight="1">
      <c r="A22" s="51" t="inlineStr">
        <is>
          <t>จันทร์: Bund → จิ้งอัน (ปิดทริป)</t>
        </is>
      </c>
      <c r="B22" s="42" t="inlineStr">
        <is>
          <t>🚇 Line 2 南京东路 → 静安寺 (4 ป้าย)</t>
        </is>
      </c>
      <c r="C22" s="52" t="inlineStr">
        <is>
          <t>~15 น.</t>
        </is>
      </c>
      <c r="D22" s="52" t="inlineStr">
        <is>
          <t>4</t>
        </is>
      </c>
      <c r="E22" s="42" t="inlineStr">
        <is>
          <t>วัดไฟค่ำ+Kerry+มื้อส่งท้าย</t>
        </is>
      </c>
    </row>
    <row r="23" ht="30" customHeight="1">
      <c r="A23" s="51" t="inlineStr">
        <is>
          <t>จันทร์: Kerry → โรงแรม</t>
        </is>
      </c>
      <c r="B23" s="42" t="inlineStr">
        <is>
          <t>🚶 เดิน 1.2 กม.</t>
        </is>
      </c>
      <c r="C23" s="52" t="inlineStr">
        <is>
          <t>15 น.</t>
        </is>
      </c>
      <c r="D23" s="52" t="inlineStr">
        <is>
          <t>0</t>
        </is>
      </c>
      <c r="E23" s="42" t="inlineStr"/>
    </row>
    <row r="24" ht="30" customHeight="1">
      <c r="A24" s="31" t="inlineStr">
        <is>
          <t>อังคาร: โรงแรม → PVG T2 (08:15)</t>
        </is>
      </c>
      <c r="B24" s="61" t="inlineStr">
        <is>
          <t>🚕 แท็กซี่ 2 คัน</t>
        </is>
      </c>
      <c r="C24" s="47" t="inlineStr">
        <is>
          <t>60–75 น.</t>
        </is>
      </c>
      <c r="D24" s="47" t="inlineStr">
        <is>
          <t>65</t>
        </is>
      </c>
      <c r="E24" s="61" t="inlineStr">
        <is>
          <t>ไฟลต์ 12:00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6" customWidth="1" min="3" max="3"/>
    <col width="40" customWidth="1" min="4" max="4"/>
    <col width="12" customWidth="1" min="5" max="5"/>
    <col width="12" customWidth="1" min="6" max="6"/>
  </cols>
  <sheetData>
    <row r="1" ht="30" customHeight="1">
      <c r="A1" s="1" t="inlineStr">
        <is>
          <t>🍜 แผนกิน v4 — จับคู่ตามย่านแต่ละวัน (¥133/วัน)</t>
        </is>
      </c>
      <c r="B1" s="2" t="n"/>
      <c r="C1" s="2" t="n"/>
      <c r="D1" s="2" t="n"/>
      <c r="E1" s="2" t="n"/>
      <c r="F1" s="2" t="n"/>
    </row>
    <row r="3" ht="30" customHeight="1">
      <c r="A3" s="10" t="inlineStr">
        <is>
          <t>วัน</t>
        </is>
      </c>
      <c r="B3" s="10" t="inlineStr">
        <is>
          <t>เช้า</t>
        </is>
      </c>
      <c r="C3" s="10" t="inlineStr">
        <is>
          <t>เที่ยง</t>
        </is>
      </c>
      <c r="D3" s="10" t="inlineStr">
        <is>
          <t>เย็น</t>
        </is>
      </c>
      <c r="E3" s="10" t="inlineStr">
        <is>
          <t>¥</t>
        </is>
      </c>
      <c r="F3" s="10" t="inlineStr">
        <is>
          <t>บาท</t>
        </is>
      </c>
    </row>
    <row r="4" ht="44" customHeight="1">
      <c r="A4" s="41" t="inlineStr">
        <is>
          <t>พฤหัส 10</t>
        </is>
      </c>
      <c r="B4" s="42" t="inlineStr">
        <is>
          <t>— (กินที่ BKK ก่อน 12:30)</t>
        </is>
      </c>
      <c r="C4" s="42" t="inlineStr">
        <is>
          <t>(บนเครื่อง ไม่มีอาหาร)</t>
        </is>
      </c>
      <c r="D4" s="42" t="inlineStr">
        <is>
          <t>มื้อดึก convenience หน้าปากซอย + ของเข้าตู้เย็น</t>
        </is>
      </c>
      <c r="E4" s="44" t="n">
        <v>20</v>
      </c>
      <c r="F4" s="44" t="n">
        <v>99</v>
      </c>
    </row>
    <row r="5" ht="44" customHeight="1">
      <c r="A5" s="41" t="inlineStr">
        <is>
          <t>ศุกร์ 11</t>
        </is>
      </c>
      <c r="B5" s="42" t="inlineStr">
        <is>
          <t>ร้านเช้าต้าเถียน: เสี่ยวหลงเปา/ซาลาเปา+นมถั่ว 15</t>
        </is>
      </c>
      <c r="C5" s="42" t="inlineStr">
        <is>
          <t>Nanxiang 南翔馒头店 ชั้น 2 (อวี้หยวน) 80</t>
        </is>
      </c>
      <c r="D5" s="42" t="inlineStr">
        <is>
          <t>ตลาด Christkindlmarkt/Rockbund: ไส้กรอก+ราเคล็ต+ไวน์ร้อน หรือร้านอาหาร Bund Source 120</t>
        </is>
      </c>
      <c r="E5" s="44" t="n">
        <v>255</v>
      </c>
      <c r="F5" s="44" t="n">
        <v>1262</v>
      </c>
    </row>
    <row r="6" ht="44" customHeight="1">
      <c r="A6" s="41" t="inlineStr">
        <is>
          <t>เสาร์ 12</t>
        </is>
      </c>
      <c r="B6" s="42" t="inlineStr">
        <is>
          <t>ร้านเช้า/ของห้อง 15</t>
        </is>
      </c>
      <c r="C6" s="42" t="inlineStr">
        <is>
          <t>Anfu Rd: คาเฟ่บรันช์/บิสโทรดีไซน์ หรือร้านเซี่ยงไฮ้ซอยเล็ก 70</t>
        </is>
      </c>
      <c r="D6" s="42" t="inlineStr">
        <is>
          <t>Haidilao 海底捞 ย่านซินเทียนตี้ (พิเศษ ① จองห้อง 7–8 ที่) 150</t>
        </is>
      </c>
      <c r="E6" s="44" t="n">
        <v>275</v>
      </c>
      <c r="F6" s="44" t="n">
        <v>1361</v>
      </c>
    </row>
    <row r="7" ht="44" customHeight="1">
      <c r="A7" s="41" t="inlineStr">
        <is>
          <t>อาทิตย์ 13</t>
        </is>
      </c>
      <c r="B7" s="42" t="inlineStr">
        <is>
          <t>ของห้อง/ร้านเช้าเร็ว 15</t>
        </is>
      </c>
      <c r="C7" s="42" t="inlineStr">
        <is>
          <t>ริมทะเลสาบ Dishui: ร้านคาเฟ่/ทะเลสาบ 60</t>
        </is>
      </c>
      <c r="D7" s="42" t="inlineStr">
        <is>
          <t>โซน Expo Puxi/Jumen: คาเฟ่-บิสโทรโรงงานเก่า 60</t>
        </is>
      </c>
      <c r="E7" s="44" t="n">
        <v>165</v>
      </c>
      <c r="F7" s="44" t="n">
        <v>817</v>
      </c>
    </row>
    <row r="8" ht="44" customHeight="1">
      <c r="A8" s="41" t="inlineStr">
        <is>
          <t>จันทร์ 14</t>
        </is>
      </c>
      <c r="B8" s="42" t="inlineStr">
        <is>
          <t>ร้านเช้า 15</t>
        </is>
      </c>
      <c r="C8" s="42" t="inlineStr">
        <is>
          <t>หงโข่ว: บะหมี่/เกี๊ยวร้านเก่าแถว Sichuan North Rd 40</t>
        </is>
      </c>
      <c r="D8" s="42" t="inlineStr">
        <is>
          <t>มื้อส่งท้าย: Kerry Centre/Reel หรือเซี่ยงไฮ้แท้ย่านจิ้งอัน 150</t>
        </is>
      </c>
      <c r="E8" s="44" t="n">
        <v>205</v>
      </c>
      <c r="F8" s="44" t="n">
        <v>1015</v>
      </c>
    </row>
    <row r="9" ht="44" customHeight="1">
      <c r="A9" s="41" t="inlineStr">
        <is>
          <t>อังคาร 15</t>
        </is>
      </c>
      <c r="B9" s="42" t="inlineStr">
        <is>
          <t>ร้านเช้าใกล้โรงแรม 15</t>
        </is>
      </c>
      <c r="C9" s="42" t="inlineStr">
        <is>
          <t>(รองท้องก่อนขึ้นเครื่อง 30)</t>
        </is>
      </c>
      <c r="D9" s="42" t="inlineStr">
        <is>
          <t>—</t>
        </is>
      </c>
      <c r="E9" s="44" t="n">
        <v>45</v>
      </c>
      <c r="F9" s="44" t="n">
        <v>223</v>
      </c>
    </row>
    <row r="10" ht="22" customHeight="1">
      <c r="A10" s="31" t="inlineStr">
        <is>
          <t>รวม</t>
        </is>
      </c>
      <c r="B10" s="30" t="inlineStr"/>
      <c r="C10" s="30" t="inlineStr"/>
      <c r="D10" s="30" t="inlineStr"/>
      <c r="E10" s="49">
        <f>SUM(E4:E9)</f>
        <v/>
      </c>
      <c r="F10" s="50">
        <f>SUM(F4:F9)</f>
        <v/>
      </c>
    </row>
    <row r="12" ht="32" customHeight="1">
      <c r="A12" s="62" t="inlineStr">
        <is>
          <t>💡 กาแฟ/ของว่างระหว่างวัน (Manner ที่ Huangjincheng, คาเฟ่ Anfu, คาเฟ่ Jumen) นับในงบจิปาถะ+ตั๋วคาเฟ่ ¥40 แล้ว • เทคนิค: สั่งแชร์ 6–7 อย่าง/มื้อ, set lunch ถูกกว่า dinner, ตู้เย็นสวีทช่วยมื้อเช้า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0" customWidth="1" min="3" max="3"/>
    <col width="26" customWidth="1" min="4" max="4"/>
    <col width="36" customWidth="1" min="5" max="5"/>
  </cols>
  <sheetData>
    <row r="1" ht="30" customHeight="1">
      <c r="A1" s="1" t="inlineStr">
        <is>
          <t>✅ เช็กลิสต์ v4</t>
        </is>
      </c>
      <c r="B1" s="2" t="n"/>
      <c r="C1" s="2" t="n"/>
      <c r="D1" s="2" t="n"/>
      <c r="E1" s="2" t="n"/>
    </row>
    <row r="3" ht="30" customHeight="1">
      <c r="A3" s="10" t="inlineStr">
        <is>
          <t>✓</t>
        </is>
      </c>
      <c r="B3" s="10" t="inlineStr">
        <is>
          <t>หมวด</t>
        </is>
      </c>
      <c r="C3" s="10" t="inlineStr">
        <is>
          <t>รายการ</t>
        </is>
      </c>
      <c r="D3" s="10" t="inlineStr">
        <is>
          <t>กำหนด</t>
        </is>
      </c>
      <c r="E3" s="10" t="inlineStr">
        <is>
          <t>หมายเหตุ</t>
        </is>
      </c>
    </row>
    <row r="4" ht="30" customHeight="1">
      <c r="A4" s="63" t="inlineStr">
        <is>
          <t>☐</t>
        </is>
      </c>
      <c r="B4" s="8" t="inlineStr">
        <is>
          <t>ด่วน</t>
        </is>
      </c>
      <c r="C4" s="9" t="inlineStr">
        <is>
          <t>🧳 เช็ก/ซื้อโควตากระเป๋า 9C ในบุ๊กกิ้ง</t>
        </is>
      </c>
      <c r="D4" s="9" t="inlineStr">
        <is>
          <t>วันนี้</t>
        </is>
      </c>
      <c r="E4" s="60" t="inlineStr">
        <is>
          <t>Trip.com / Spring (ออนไลน์ถูกกว่าเคาน์เตอร์ 30–50%)</t>
        </is>
      </c>
    </row>
    <row r="5" ht="30" customHeight="1">
      <c r="A5" s="63" t="inlineStr">
        <is>
          <t>☐</t>
        </is>
      </c>
      <c r="B5" s="8" t="inlineStr">
        <is>
          <t>ด่วน</t>
        </is>
      </c>
      <c r="C5" s="9" t="inlineStr">
        <is>
          <t>☎️ แจ้งโรงแรมถึง ~22:15–22:45 (เช็กอินปิด 23:30)</t>
        </is>
      </c>
      <c r="D5" s="9" t="inlineStr">
        <is>
          <t>สัปดาห์นี้</t>
        </is>
      </c>
      <c r="E5" s="60" t="inlineStr">
        <is>
          <t>+86 185-1623-9428</t>
        </is>
      </c>
    </row>
    <row r="6" ht="30" customHeight="1">
      <c r="A6" s="63" t="inlineStr">
        <is>
          <t>☐</t>
        </is>
      </c>
      <c r="B6" s="8" t="inlineStr">
        <is>
          <t>ด่วน</t>
        </is>
      </c>
      <c r="C6" s="9" t="inlineStr">
        <is>
          <t>🛂 ประกันเดินทาง 7 คน</t>
        </is>
      </c>
      <c r="D6" s="9" t="inlineStr">
        <is>
          <t>สัปดาห์นี้</t>
        </is>
      </c>
      <c r="E6" s="60" t="inlineStr">
        <is>
          <t>Klook/MSIG/ไทยวิวัฒน์</t>
        </is>
      </c>
    </row>
    <row r="7" ht="30" customHeight="1">
      <c r="A7" s="64" t="inlineStr">
        <is>
          <t>☐</t>
        </is>
      </c>
      <c r="B7" s="51" t="inlineStr">
        <is>
          <t>จอง</t>
        </is>
      </c>
      <c r="C7" s="5" t="inlineStr">
        <is>
          <t>🔭 พิพิธภัณฑ์ดาราศาสตร์ (ปิดจันทร์ คิวเต็มเร็ว)</t>
        </is>
      </c>
      <c r="D7" s="5" t="inlineStr">
        <is>
          <t>~6 ธ.ค. (ล่วงหน้า ~7 วัน)</t>
        </is>
      </c>
      <c r="E7" s="42" t="inlineStr">
        <is>
          <t>WeChat 上海天文馆 / Trip.com</t>
        </is>
      </c>
    </row>
    <row r="8" ht="30" customHeight="1">
      <c r="A8" s="64" t="inlineStr">
        <is>
          <t>☐</t>
        </is>
      </c>
      <c r="B8" s="51" t="inlineStr">
        <is>
          <t>จอง</t>
        </is>
      </c>
      <c r="C8" s="5" t="inlineStr">
        <is>
          <t>🎫 Ocean Aquarium + NatHist + Yu Garden (+ล่องเรือถ้าเอา)</t>
        </is>
      </c>
      <c r="D8" s="5" t="inlineStr">
        <is>
          <t>3–7 วันก่อน</t>
        </is>
      </c>
      <c r="E8" s="42" t="inlineStr">
        <is>
          <t>Trip.com/Klook ตามโปร ฿602.63/฿150.66/฿524.78</t>
        </is>
      </c>
    </row>
    <row r="9" ht="30" customHeight="1">
      <c r="A9" s="64" t="inlineStr">
        <is>
          <t>☐</t>
        </is>
      </c>
      <c r="B9" s="51" t="inlineStr">
        <is>
          <t>จอง</t>
        </is>
      </c>
      <c r="C9" s="5" t="inlineStr">
        <is>
          <t>🍽️ Haidilao เสาร์เย็น (ห้อง 7–8 ที่) + มื้อส่งท้ายจันทร์ + ร้าน Anfu เสาร์เที่ยง</t>
        </is>
      </c>
      <c r="D9" s="5" t="inlineStr">
        <is>
          <t>3–7 วันก่อน</t>
        </is>
      </c>
      <c r="E9" s="42" t="inlineStr">
        <is>
          <t>Dianping / โรงแรมโทรให้</t>
        </is>
      </c>
    </row>
    <row r="10" ht="30" customHeight="1">
      <c r="A10" s="64" t="inlineStr">
        <is>
          <t>☐</t>
        </is>
      </c>
      <c r="B10" s="51" t="inlineStr">
        <is>
          <t>จอง</t>
        </is>
      </c>
      <c r="C10" s="5" t="inlineStr">
        <is>
          <t>💳 Alipay/WeChat KYC + 📱 eSIM</t>
        </is>
      </c>
      <c r="D10" s="5" t="inlineStr">
        <is>
          <t>1–2 สัปดาห์ก่อน</t>
        </is>
      </c>
      <c r="E10" s="42" t="inlineStr">
        <is>
          <t>ใช้สแกนขึ้น Metro ได้</t>
        </is>
      </c>
    </row>
    <row r="11" ht="30" customHeight="1">
      <c r="A11" s="64" t="inlineStr">
        <is>
          <t>☐</t>
        </is>
      </c>
      <c r="B11" s="51" t="inlineStr">
        <is>
          <t>เช็ก</t>
        </is>
      </c>
      <c r="C11" s="5" t="inlineStr">
        <is>
          <t>🍂 เช็กรูปกิงโกะสดใน Xiaohongshu (汶水路/黄金城道/瑞金/局门路)</t>
        </is>
      </c>
      <c r="D11" s="5" t="inlineStr">
        <is>
          <t>7 ธ.ค. + 12 ธ.ค.</t>
        </is>
      </c>
      <c r="E11" s="42" t="inlineStr">
        <is>
          <t>ถ้าร่วงหมดสลับ Century Park (Line 2)</t>
        </is>
      </c>
    </row>
    <row r="12" ht="30" customHeight="1">
      <c r="A12" s="64" t="inlineStr">
        <is>
          <t>☐</t>
        </is>
      </c>
      <c r="B12" s="51" t="inlineStr">
        <is>
          <t>กลุ่ม</t>
        </is>
      </c>
      <c r="C12" s="5" t="inlineStr">
        <is>
          <t>จัดเตียง 5 ควีน (2+2+2+1) + กติกาเงินกองกลาง ~10,000/คน</t>
        </is>
      </c>
      <c r="D12" s="5" t="inlineStr">
        <is>
          <t>ก่อนเดินทาง</t>
        </is>
      </c>
      <c r="E12" s="42" t="inlineStr">
        <is>
          <t>ห้องนั่งเล่นสวีท = จุดรวมพล</t>
        </is>
      </c>
    </row>
    <row r="13" ht="30" customHeight="1">
      <c r="A13" s="64" t="inlineStr">
        <is>
          <t>☐</t>
        </is>
      </c>
      <c r="B13" s="51" t="inlineStr">
        <is>
          <t>กลุ่ม</t>
        </is>
      </c>
      <c r="C13" s="5" t="inlineStr">
        <is>
          <t>แจกที่อยู่โรงแรมภาษาจีน + ตั้งกลุ่ม LINE แชร์ Location</t>
        </is>
      </c>
      <c r="D13" s="5" t="inlineStr">
        <is>
          <t>ก่อนเดินทาง</t>
        </is>
      </c>
      <c r="E13" s="42" t="inlineStr">
        <is>
          <t>上海市静安区大田路129弄1号A座33层</t>
        </is>
      </c>
    </row>
    <row r="14" ht="30" customHeight="1">
      <c r="A14" s="64" t="inlineStr">
        <is>
          <t>☐</t>
        </is>
      </c>
      <c r="B14" s="51" t="inlineStr">
        <is>
          <t>วันเดินทาง</t>
        </is>
      </c>
      <c r="C14" s="5" t="inlineStr">
        <is>
          <t>🍱 กินเที่ยงที่ BKK ก่อน 12:30 + ถึง BKK 11:45</t>
        </is>
      </c>
      <c r="D14" s="5" t="inlineStr">
        <is>
          <t>10 ธ.ค.</t>
        </is>
      </c>
      <c r="E14" s="42" t="inlineStr">
        <is>
          <t>9C ไม่มีอาหารบนเครื่อง</t>
        </is>
      </c>
    </row>
    <row r="15" ht="30" customHeight="1">
      <c r="A15" s="64" t="inlineStr">
        <is>
          <t>☐</t>
        </is>
      </c>
      <c r="B15" s="51" t="inlineStr">
        <is>
          <t>วันกลับ</t>
        </is>
      </c>
      <c r="C15" s="5" t="inlineStr">
        <is>
          <t>⏰ ปลุก 07:00 • ออก 08:15 ตรง • ชั่งกระเป๋าก่อนลงลิฟต์</t>
        </is>
      </c>
      <c r="D15" s="5" t="inlineStr">
        <is>
          <t>15 ธ.ค.</t>
        </is>
      </c>
      <c r="E15" s="42" t="inlineStr">
        <is>
          <t>ไฟลต์ 12:00 เคาน์เตอร์โลว์คอสต์คิวยาว</t>
        </is>
      </c>
    </row>
    <row r="16" ht="30" customHeight="1">
      <c r="A16" s="64" t="inlineStr">
        <is>
          <t>☐</t>
        </is>
      </c>
      <c r="B16" s="51" t="inlineStr">
        <is>
          <t>เสื้อผ้า</t>
        </is>
      </c>
      <c r="C16" s="5" t="inlineStr">
        <is>
          <t>ฮีทเทค/โค้ทกันลม/ถุงมือ+ผ้าพันคอ+หมวก/กางเกงหนา/รองเท้านุ่มกันน้ำ/ร่มพับ</t>
        </is>
      </c>
      <c r="D16" s="5" t="inlineStr">
        <is>
          <t>1 สัปดาห์ก่อน</t>
        </is>
      </c>
      <c r="E16" s="42" t="inlineStr">
        <is>
          <t>4–11°C ชื้น ลมแรง</t>
        </is>
      </c>
    </row>
    <row r="17" ht="30" customHeight="1">
      <c r="A17" s="64" t="inlineStr">
        <is>
          <t>☐</t>
        </is>
      </c>
      <c r="B17" s="51" t="inlineStr">
        <is>
          <t>อุปกรณ์</t>
        </is>
      </c>
      <c r="C17" s="5" t="inlineStr">
        <is>
          <t>หัวแปลง+ปลั๊กพ่วง • พาวเวอร์แบงก์ ≤100Wh • กระติก • ถุงผ้าพับได้ (ของฝาก)</t>
        </is>
      </c>
      <c r="D17" s="5" t="inlineStr">
        <is>
          <t>1 สัปดาห์ก่อน</t>
        </is>
      </c>
      <c r="E17" s="42" t="inlineStr"/>
    </row>
    <row r="18" ht="30" customHeight="1">
      <c r="A18" s="64" t="inlineStr">
        <is>
          <t>☐</t>
        </is>
      </c>
      <c r="B18" s="51" t="inlineStr">
        <is>
          <t>เอกสาร</t>
        </is>
      </c>
      <c r="C18" s="5" t="inlineStr">
        <is>
          <t>พาสปอร์ต ≥6 เดือน + สำเนา • แจ้งธนาคาร • เงินสด ¥1,500/คน</t>
        </is>
      </c>
      <c r="D18" s="5" t="inlineStr">
        <is>
          <t>1 สัปดาห์ก่อน</t>
        </is>
      </c>
      <c r="E18" s="42" t="inlineStr"/>
    </row>
    <row r="19" ht="30" customHeight="1">
      <c r="A19" s="64" t="inlineStr">
        <is>
          <t>☐</t>
        </is>
      </c>
      <c r="B19" s="51" t="inlineStr">
        <is>
          <t>ความปลอดภัย</t>
        </is>
      </c>
      <c r="C19" s="5" t="inlineStr">
        <is>
          <t>🔒 เลขบุ๊กกิ้ง/PIN เก็บส่วนตัว ห้ามใส่ลิงก์สาธารณะ</t>
        </is>
      </c>
      <c r="D19" s="5" t="inlineStr">
        <is>
          <t>ตลอดเวลา</t>
        </is>
      </c>
      <c r="E19" s="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74" customWidth="1" min="3" max="3"/>
    <col width="34" customWidth="1" min="4" max="4"/>
    <col width="10" customWidth="1" min="5" max="5"/>
    <col width="11" customWidth="1" min="6" max="6"/>
  </cols>
  <sheetData>
    <row r="1" ht="30" customHeight="1">
      <c r="A1" s="1" t="inlineStr">
        <is>
          <t>ตารางรายวัน v4 — เส้นไหลเดียวไม่ย้อนทาง + มื้อfoodจับคู่ย่าน + โน้ตแสงถ่ายรูป</t>
        </is>
      </c>
      <c r="B1" s="2" t="n"/>
      <c r="C1" s="2" t="n"/>
      <c r="D1" s="2" t="n"/>
      <c r="E1" s="2" t="n"/>
      <c r="F1" s="2" t="n"/>
    </row>
    <row r="3" ht="30" customHeight="1">
      <c r="A3" s="10" t="inlineStr">
        <is>
          <t>วัน</t>
        </is>
      </c>
      <c r="B3" s="10" t="inlineStr">
        <is>
          <t>เวลา</t>
        </is>
      </c>
      <c r="C3" s="10" t="inlineStr">
        <is>
          <t>โปรแกรม</t>
        </is>
      </c>
      <c r="D3" s="10" t="inlineStr">
        <is>
          <t>การเดินทาง</t>
        </is>
      </c>
      <c r="E3" s="10" t="inlineStr">
        <is>
          <t>¥</t>
        </is>
      </c>
      <c r="F3" s="10" t="inlineStr">
        <is>
          <t>ประเภท</t>
        </is>
      </c>
    </row>
    <row r="4" ht="30" customHeight="1">
      <c r="A4" s="65" t="inlineStr">
        <is>
          <t>พฤหัส 10</t>
        </is>
      </c>
      <c r="B4" s="66" t="inlineStr">
        <is>
          <t>11:45</t>
        </is>
      </c>
      <c r="C4" s="5" t="inlineStr">
        <is>
          <t>รวมตัว BKK (เคาน์เตอร์ 9C ปิด 45–60 นาทีก่อนออก)</t>
        </is>
      </c>
      <c r="D4" s="67" t="inlineStr">
        <is>
          <t>—</t>
        </is>
      </c>
      <c r="E4" s="52" t="inlineStr">
        <is>
          <t>-</t>
        </is>
      </c>
      <c r="F4" s="68" t="inlineStr">
        <is>
          <t>เดินทาง</t>
        </is>
      </c>
    </row>
    <row r="5" ht="30" customHeight="1">
      <c r="A5" s="69" t="inlineStr"/>
      <c r="B5" s="66" t="inlineStr">
        <is>
          <t>12:30</t>
        </is>
      </c>
      <c r="C5" s="5" t="inlineStr">
        <is>
          <t>🍱 มื้อเที่ยงที่ BKK (9C ไม่มีอาหารบนเครื่อง)</t>
        </is>
      </c>
      <c r="D5" s="67" t="inlineStr">
        <is>
          <t>—</t>
        </is>
      </c>
      <c r="E5" s="52" t="inlineStr">
        <is>
          <t>(฿)</t>
        </is>
      </c>
      <c r="F5" s="70" t="inlineStr">
        <is>
          <t>กิน</t>
        </is>
      </c>
    </row>
    <row r="6" ht="30" customHeight="1">
      <c r="A6" s="69" t="inlineStr"/>
      <c r="B6" s="66" t="inlineStr">
        <is>
          <t>14:45</t>
        </is>
      </c>
      <c r="C6" s="5" t="inlineStr">
        <is>
          <t>✈️ 9C7282 BKK → PVG</t>
        </is>
      </c>
      <c r="D6" s="67" t="inlineStr">
        <is>
          <t>✈️ 4 ชม. 20 น.</t>
        </is>
      </c>
      <c r="E6" s="52" t="inlineStr">
        <is>
          <t>-</t>
        </is>
      </c>
      <c r="F6" s="68" t="inlineStr">
        <is>
          <t>เดินทาง</t>
        </is>
      </c>
    </row>
    <row r="7" ht="30" customHeight="1">
      <c r="A7" s="69" t="inlineStr"/>
      <c r="B7" s="66" t="inlineStr">
        <is>
          <t>20:05</t>
        </is>
      </c>
      <c r="C7" s="5" t="inlineStr">
        <is>
          <t>ถึง PVG T2 → ตม. → กระเป๋า</t>
        </is>
      </c>
      <c r="D7" s="67" t="inlineStr">
        <is>
          <t>—</t>
        </is>
      </c>
      <c r="E7" s="52" t="inlineStr">
        <is>
          <t>-</t>
        </is>
      </c>
      <c r="F7" s="68" t="inlineStr">
        <is>
          <t>เดินทาง</t>
        </is>
      </c>
    </row>
    <row r="8" ht="30" customHeight="1">
      <c r="A8" s="69" t="inlineStr"/>
      <c r="B8" s="66" t="inlineStr">
        <is>
          <t>21:15</t>
        </is>
      </c>
      <c r="C8" s="5" t="inlineStr">
        <is>
          <t>🚕 แท็กซี่ 2 คัน → โรงแรมจิ้งอัน</t>
        </is>
      </c>
      <c r="D8" s="67" t="inlineStr">
        <is>
          <t>🚕 60–75 น.</t>
        </is>
      </c>
      <c r="E8" s="52" t="inlineStr">
        <is>
          <t>65</t>
        </is>
      </c>
      <c r="F8" s="68" t="inlineStr">
        <is>
          <t>เดินทาง</t>
        </is>
      </c>
    </row>
    <row r="9" ht="30" customHeight="1">
      <c r="A9" s="69" t="inlineStr"/>
      <c r="B9" s="66" t="inlineStr">
        <is>
          <t>22:15</t>
        </is>
      </c>
      <c r="C9" s="5" t="inlineStr">
        <is>
          <t>เช็คอิน (ปิด 23:30 ✅) • จัดเตียง 2+2+2+1 • เช็กตู้เย็น/เครื่องทำร้อน</t>
        </is>
      </c>
      <c r="D9" s="67" t="inlineStr">
        <is>
          <t>—</t>
        </is>
      </c>
      <c r="E9" s="52" t="inlineStr">
        <is>
          <t>-</t>
        </is>
      </c>
      <c r="F9" s="71" t="inlineStr">
        <is>
          <t>พัก</t>
        </is>
      </c>
    </row>
    <row r="10" ht="30" customHeight="1">
      <c r="A10" s="69" t="inlineStr"/>
      <c r="B10" s="66" t="inlineStr">
        <is>
          <t>22:45</t>
        </is>
      </c>
      <c r="C10" s="5" t="inlineStr">
        <is>
          <t>มื้อดึก convenience + ของเข้าตู้เย็น</t>
        </is>
      </c>
      <c r="D10" s="67" t="inlineStr">
        <is>
          <t>🚶</t>
        </is>
      </c>
      <c r="E10" s="52" t="inlineStr">
        <is>
          <t>20</t>
        </is>
      </c>
      <c r="F10" s="70" t="inlineStr">
        <is>
          <t>กิน</t>
        </is>
      </c>
    </row>
    <row r="11" ht="30" customHeight="1">
      <c r="A11" s="65" t="inlineStr">
        <is>
          <t>ศุกร์ 11</t>
        </is>
      </c>
      <c r="B11" s="66" t="inlineStr">
        <is>
          <t>07:45</t>
        </is>
      </c>
      <c r="C11" s="5" t="inlineStr">
        <is>
          <t>อาหารเช้าร้านท้องถิ่นต้าเถียน</t>
        </is>
      </c>
      <c r="D11" s="67" t="inlineStr">
        <is>
          <t>🚶</t>
        </is>
      </c>
      <c r="E11" s="52" t="inlineStr">
        <is>
          <t>15</t>
        </is>
      </c>
      <c r="F11" s="70" t="inlineStr">
        <is>
          <t>กิน</t>
        </is>
      </c>
    </row>
    <row r="12" ht="30" customHeight="1">
      <c r="A12" s="69" t="inlineStr"/>
      <c r="B12" s="66" t="inlineStr">
        <is>
          <t>08:40</t>
        </is>
      </c>
      <c r="C12" s="5" t="inlineStr">
        <is>
          <t>🏛️ พิพิธภัณฑ์ประวัติศาสตร์ธรรมชาติ (500 ม. จากโรงแรม) เปิด 09:00</t>
        </is>
      </c>
      <c r="D12" s="67" t="inlineStr">
        <is>
          <t>🚶 500 ม.</t>
        </is>
      </c>
      <c r="E12" s="52" t="inlineStr">
        <is>
          <t>30</t>
        </is>
      </c>
      <c r="F12" s="72" t="inlineStr">
        <is>
          <t>เที่ยว</t>
        </is>
      </c>
    </row>
    <row r="13" ht="30" customHeight="1">
      <c r="A13" s="69" t="inlineStr"/>
      <c r="B13" s="66" t="inlineStr">
        <is>
          <t>10:20</t>
        </is>
      </c>
      <c r="C13" s="5" t="inlineStr">
        <is>
          <t>ไปเมืองเก่า</t>
        </is>
      </c>
      <c r="D13" s="67" t="inlineStr">
        <is>
          <t>🚇 13→10 ถึง 豫园</t>
        </is>
      </c>
      <c r="E13" s="52" t="inlineStr">
        <is>
          <t>4</t>
        </is>
      </c>
      <c r="F13" s="68" t="inlineStr">
        <is>
          <t>เดินทาง</t>
        </is>
      </c>
    </row>
    <row r="14" ht="30" customHeight="1">
      <c r="A14" s="69" t="inlineStr"/>
      <c r="B14" s="66" t="inlineStr">
        <is>
          <t>10:50</t>
        </is>
      </c>
      <c r="C14" s="5" t="inlineStr">
        <is>
          <t>🌳 สวนอวี้หยวน 豫园 + 🏮 วัดเฉิงหวง/Bazaar</t>
        </is>
      </c>
      <c r="D14" s="67" t="inlineStr">
        <is>
          <t>🚶</t>
        </is>
      </c>
      <c r="E14" s="52" t="inlineStr">
        <is>
          <t>30</t>
        </is>
      </c>
      <c r="F14" s="72" t="inlineStr">
        <is>
          <t>เที่ยว</t>
        </is>
      </c>
    </row>
    <row r="15" ht="30" customHeight="1">
      <c r="A15" s="69" t="inlineStr"/>
      <c r="B15" s="66" t="inlineStr">
        <is>
          <t>12:00</t>
        </is>
      </c>
      <c r="C15" s="5" t="inlineStr">
        <is>
          <t>☕ Huxinting 湖心亭 โรงน้ำชา 160 ปี</t>
        </is>
      </c>
      <c r="D15" s="67" t="inlineStr">
        <is>
          <t>🚶 2 น.</t>
        </is>
      </c>
      <c r="E15" s="52" t="inlineStr">
        <is>
          <t>40</t>
        </is>
      </c>
      <c r="F15" s="71" t="inlineStr">
        <is>
          <t>พัก</t>
        </is>
      </c>
    </row>
    <row r="16" ht="30" customHeight="1">
      <c r="A16" s="69" t="inlineStr"/>
      <c r="B16" s="66" t="inlineStr">
        <is>
          <t>12:40</t>
        </is>
      </c>
      <c r="C16" s="5" t="inlineStr">
        <is>
          <t>🍜 เที่ยง: Nanxiang 南翔馒头店 ชั้น 2</t>
        </is>
      </c>
      <c r="D16" s="67" t="inlineStr">
        <is>
          <t>🚶 3 น.</t>
        </is>
      </c>
      <c r="E16" s="52" t="inlineStr">
        <is>
          <t>80</t>
        </is>
      </c>
      <c r="F16" s="70" t="inlineStr">
        <is>
          <t>กิน</t>
        </is>
      </c>
    </row>
    <row r="17" ht="30" customHeight="1">
      <c r="A17" s="69" t="inlineStr"/>
      <c r="B17" s="66" t="inlineStr">
        <is>
          <t>14:00</t>
        </is>
      </c>
      <c r="C17" s="5" t="inlineStr">
        <is>
          <t>📸 เดินเฉียงเหนือ → หนานจิงคนเดิน + 🛍️ ช้อป1 Shen Da Cheng + ล็อบบี้ Peace Hotel</t>
        </is>
      </c>
      <c r="D17" s="67" t="inlineStr">
        <is>
          <t>🚶 20 น.</t>
        </is>
      </c>
      <c r="E17" s="52" t="inlineStr">
        <is>
          <t>ฟรี</t>
        </is>
      </c>
      <c r="F17" s="73" t="inlineStr">
        <is>
          <t>ช้อป</t>
        </is>
      </c>
    </row>
    <row r="18" ht="30" customHeight="1">
      <c r="A18" s="69" t="inlineStr"/>
      <c r="B18" s="66" t="inlineStr">
        <is>
          <t>15:35</t>
        </is>
      </c>
      <c r="C18" s="5" t="inlineStr">
        <is>
          <t>🏛️ พิพิธภัณฑ์ไปรษณีย์ (เข้าได้ถึง ~16:00)</t>
        </is>
      </c>
      <c r="D18" s="67" t="inlineStr">
        <is>
          <t>🚶 15 น.</t>
        </is>
      </c>
      <c r="E18" s="52" t="inlineStr">
        <is>
          <t>10</t>
        </is>
      </c>
      <c r="F18" s="72" t="inlineStr">
        <is>
          <t>เที่ยว</t>
        </is>
      </c>
    </row>
    <row r="19" ht="30" customHeight="1">
      <c r="A19" s="69" t="inlineStr"/>
      <c r="B19" s="66" t="inlineStr">
        <is>
          <t>16:25</t>
        </is>
      </c>
      <c r="C19" s="5" t="inlineStr">
        <is>
          <t>🌅 North Bund Greenland — กันเซ็ตหยดน้ำ+หอไข่มุก «มาก่อน 16:20»</t>
        </is>
      </c>
      <c r="D19" s="67" t="inlineStr">
        <is>
          <t>🚶 10 น.</t>
        </is>
      </c>
      <c r="E19" s="52" t="inlineStr">
        <is>
          <t>ฟรี</t>
        </is>
      </c>
      <c r="F19" s="72" t="inlineStr">
        <is>
          <t>เที่ยว</t>
        </is>
      </c>
    </row>
    <row r="20" ht="30" customHeight="1">
      <c r="A20" s="69" t="inlineStr"/>
      <c r="B20" s="66" t="inlineStr">
        <is>
          <t>17:05</t>
        </is>
      </c>
      <c r="C20" s="5" t="inlineStr">
        <is>
          <t>📷 ROCKBUND + Lihe 礼和 + Shamei 沙美 — เฟรมย้อนยุคหอไข่มุกไฟ (blue hour)</t>
        </is>
      </c>
      <c r="D20" s="67" t="inlineStr">
        <is>
          <t>🚶 ข้ามสะพาน 8 น.</t>
        </is>
      </c>
      <c r="E20" s="52" t="inlineStr">
        <is>
          <t>ฟรี</t>
        </is>
      </c>
      <c r="F20" s="72" t="inlineStr">
        <is>
          <t>เที่ยว</t>
        </is>
      </c>
    </row>
    <row r="21" ht="30" customHeight="1">
      <c r="A21" s="69" t="inlineStr"/>
      <c r="B21" s="66" t="inlineStr">
        <is>
          <t>17:45</t>
        </is>
      </c>
      <c r="C21" s="5" t="inlineStr">
        <is>
          <t>🎄 Christkindlmarkt 外滩源 (¥35) — ไฟตลาด+ชิงช้าสวรรค์</t>
        </is>
      </c>
      <c r="D21" s="67" t="inlineStr">
        <is>
          <t>🚶 3 น.</t>
        </is>
      </c>
      <c r="E21" s="52" t="inlineStr">
        <is>
          <t>35</t>
        </is>
      </c>
      <c r="F21" s="72" t="inlineStr">
        <is>
          <t>เที่ยว</t>
        </is>
      </c>
    </row>
    <row r="22" ht="30" customHeight="1">
      <c r="A22" s="69" t="inlineStr"/>
      <c r="B22" s="66" t="inlineStr">
        <is>
          <t>18:30</t>
        </is>
      </c>
      <c r="C22" s="5" t="inlineStr">
        <is>
          <t>🍽️ เย็น: ตลาด/ร้านอาหาร Bund Source</t>
        </is>
      </c>
      <c r="D22" s="67" t="inlineStr">
        <is>
          <t>🚶</t>
        </is>
      </c>
      <c r="E22" s="52" t="inlineStr">
        <is>
          <t>120</t>
        </is>
      </c>
      <c r="F22" s="70" t="inlineStr">
        <is>
          <t>กิน</t>
        </is>
      </c>
    </row>
    <row r="23" ht="30" customHeight="1">
      <c r="A23" s="69" t="inlineStr"/>
      <c r="B23" s="66" t="inlineStr">
        <is>
          <t>19:30</t>
        </is>
      </c>
      <c r="C23" s="5" t="inlineStr">
        <is>
          <t>🌃 เดินกลับเลียบ The Bund ไฟเต็ม • (ตัวเลือก: 🚢 ล่องเรือท่า16 20:00 ฿525)</t>
        </is>
      </c>
      <c r="D23" s="67" t="inlineStr">
        <is>
          <t>🚶</t>
        </is>
      </c>
      <c r="E23" s="52" t="inlineStr">
        <is>
          <t>0/106</t>
        </is>
      </c>
      <c r="F23" s="72" t="inlineStr">
        <is>
          <t>เที่ยว</t>
        </is>
      </c>
    </row>
    <row r="24" ht="30" customHeight="1">
      <c r="A24" s="69" t="inlineStr"/>
      <c r="B24" s="66" t="inlineStr">
        <is>
          <t>21:00</t>
        </is>
      </c>
      <c r="C24" s="5" t="inlineStr">
        <is>
          <t>กลับโรงแรม</t>
        </is>
      </c>
      <c r="D24" s="67" t="inlineStr">
        <is>
          <t>🚇 Line 2 → 南京西路+🚶</t>
        </is>
      </c>
      <c r="E24" s="52" t="inlineStr">
        <is>
          <t>4</t>
        </is>
      </c>
      <c r="F24" s="68" t="inlineStr">
        <is>
          <t>เดินทาง</t>
        </is>
      </c>
    </row>
    <row r="25" ht="30" customHeight="1">
      <c r="A25" s="65" t="inlineStr">
        <is>
          <t>เสาร์ 12</t>
        </is>
      </c>
      <c r="B25" s="66" t="inlineStr">
        <is>
          <t>08:00</t>
        </is>
      </c>
      <c r="C25" s="5" t="inlineStr">
        <is>
          <t>อาหารเช้า</t>
        </is>
      </c>
      <c r="D25" s="67" t="inlineStr">
        <is>
          <t>🚶</t>
        </is>
      </c>
      <c r="E25" s="52" t="inlineStr">
        <is>
          <t>15</t>
        </is>
      </c>
      <c r="F25" s="70" t="inlineStr">
        <is>
          <t>กิน</t>
        </is>
      </c>
    </row>
    <row r="26" ht="30" customHeight="1">
      <c r="A26" s="69" t="inlineStr"/>
      <c r="B26" s="66" t="inlineStr">
        <is>
          <t>08:40</t>
        </is>
      </c>
      <c r="C26" s="5" t="inlineStr">
        <is>
          <t>ไปกุเป้ย</t>
        </is>
      </c>
      <c r="D26" s="67" t="inlineStr">
        <is>
          <t>🚇 2→10 ถึง 水城路 ~40 น.</t>
        </is>
      </c>
      <c r="E26" s="52" t="inlineStr">
        <is>
          <t>5</t>
        </is>
      </c>
      <c r="F26" s="68" t="inlineStr">
        <is>
          <t>เดินทาง</t>
        </is>
      </c>
    </row>
    <row r="27" ht="30" customHeight="1">
      <c r="A27" s="69" t="inlineStr"/>
      <c r="B27" s="66" t="inlineStr">
        <is>
          <t>09:20</t>
        </is>
      </c>
      <c r="C27" s="5" t="inlineStr">
        <is>
          <t>🍂 Huangjincheng Rd 黄金城道 อุโมงค์กิงโกะ + Manner «แสงเช้า 9–10:30»</t>
        </is>
      </c>
      <c r="D27" s="67" t="inlineStr">
        <is>
          <t>🚶</t>
        </is>
      </c>
      <c r="E27" s="52" t="inlineStr">
        <is>
          <t>15</t>
        </is>
      </c>
      <c r="F27" s="72" t="inlineStr">
        <is>
          <t>เที่ยว</t>
        </is>
      </c>
    </row>
    <row r="28" ht="30" customHeight="1">
      <c r="A28" s="69" t="inlineStr"/>
      <c r="B28" s="66" t="inlineStr">
        <is>
          <t>10:40</t>
        </is>
      </c>
      <c r="C28" s="5" t="inlineStr">
        <is>
          <t>เข้าเมือง</t>
        </is>
      </c>
      <c r="D28" s="67" t="inlineStr">
        <is>
          <t>🚇 Line 10 → 上海图书馆</t>
        </is>
      </c>
      <c r="E28" s="52" t="inlineStr">
        <is>
          <t>4</t>
        </is>
      </c>
      <c r="F28" s="68" t="inlineStr">
        <is>
          <t>เดินทาง</t>
        </is>
      </c>
    </row>
    <row r="29" ht="30" customHeight="1">
      <c r="A29" s="69" t="inlineStr"/>
      <c r="B29" s="66" t="inlineStr">
        <is>
          <t>11:05</t>
        </is>
      </c>
      <c r="C29" s="5" t="inlineStr">
        <is>
          <t>📷 Wukang Mansion 武康大楼 + 🌳 Wukang Rd</t>
        </is>
      </c>
      <c r="D29" s="67" t="inlineStr">
        <is>
          <t>🚶 500 ม.</t>
        </is>
      </c>
      <c r="E29" s="52" t="inlineStr">
        <is>
          <t>ฟรี</t>
        </is>
      </c>
      <c r="F29" s="72" t="inlineStr">
        <is>
          <t>เที่ยว</t>
        </is>
      </c>
    </row>
    <row r="30" ht="30" customHeight="1">
      <c r="A30" s="69" t="inlineStr"/>
      <c r="B30" s="66" t="inlineStr">
        <is>
          <t>12:00</t>
        </is>
      </c>
      <c r="C30" s="5" t="inlineStr">
        <is>
          <t>🍝 เที่ยง: Anfu Rd คาเฟ่/บิสโทร/ร้านเซี่ยงไฮ้ซอย</t>
        </is>
      </c>
      <c r="D30" s="67" t="inlineStr">
        <is>
          <t>🚶 10 น.</t>
        </is>
      </c>
      <c r="E30" s="52" t="inlineStr">
        <is>
          <t>70</t>
        </is>
      </c>
      <c r="F30" s="70" t="inlineStr">
        <is>
          <t>กิน</t>
        </is>
      </c>
    </row>
    <row r="31" ht="30" customHeight="1">
      <c r="A31" s="69" t="inlineStr"/>
      <c r="B31" s="66" t="inlineStr">
        <is>
          <t>13:20</t>
        </is>
      </c>
      <c r="C31" s="5" t="inlineStr">
        <is>
          <t>🛍️ Anfu → Huaihai Middle เดินช้อปเส้นแฟชั่น</t>
        </is>
      </c>
      <c r="D31" s="67" t="inlineStr">
        <is>
          <t>🚶 15 น.</t>
        </is>
      </c>
      <c r="E31" s="52" t="inlineStr">
        <is>
          <t>ฟรี</t>
        </is>
      </c>
      <c r="F31" s="73" t="inlineStr">
        <is>
          <t>ช้อป</t>
        </is>
      </c>
    </row>
    <row r="32" ht="30" customHeight="1">
      <c r="A32" s="69" t="inlineStr"/>
      <c r="B32" s="66" t="inlineStr">
        <is>
          <t>14:00</t>
        </is>
      </c>
      <c r="C32" s="5" t="inlineStr">
        <is>
          <t>🏛️ Sinan Mansions 思南公馆 → 🍂 กิงโกะ Ruijin 瑞金宾馆 «แสงบ่าย 14:30–15:30»</t>
        </is>
      </c>
      <c r="D32" s="67" t="inlineStr">
        <is>
          <t>🚶 10+8 น.</t>
        </is>
      </c>
      <c r="E32" s="52" t="inlineStr">
        <is>
          <t>0–40</t>
        </is>
      </c>
      <c r="F32" s="72" t="inlineStr">
        <is>
          <t>เที่ยว</t>
        </is>
      </c>
    </row>
    <row r="33" ht="30" customHeight="1">
      <c r="A33" s="69" t="inlineStr"/>
      <c r="B33" s="66" t="inlineStr">
        <is>
          <t>15:40</t>
        </is>
      </c>
      <c r="C33" s="5" t="inlineStr">
        <is>
          <t>🎨 Tianzifang 田子坊</t>
        </is>
      </c>
      <c r="D33" s="67" t="inlineStr">
        <is>
          <t>🚶 15 น.</t>
        </is>
      </c>
      <c r="E33" s="52" t="inlineStr">
        <is>
          <t>ฟรี</t>
        </is>
      </c>
      <c r="F33" s="72" t="inlineStr">
        <is>
          <t>เที่ยว</t>
        </is>
      </c>
    </row>
    <row r="34" ht="30" customHeight="1">
      <c r="A34" s="69" t="inlineStr"/>
      <c r="B34" s="66" t="inlineStr">
        <is>
          <t>16:40</t>
        </is>
      </c>
      <c r="C34" s="5" t="inlineStr">
        <is>
          <t>🏮 Xintiandi + Shikumen Museum</t>
        </is>
      </c>
      <c r="D34" s="67" t="inlineStr">
        <is>
          <t>🚶 15 น.</t>
        </is>
      </c>
      <c r="E34" s="52" t="inlineStr">
        <is>
          <t>20</t>
        </is>
      </c>
      <c r="F34" s="72" t="inlineStr">
        <is>
          <t>เที่ยว</t>
        </is>
      </c>
    </row>
    <row r="35" ht="30" customHeight="1">
      <c r="A35" s="69" t="inlineStr"/>
      <c r="B35" s="66" t="inlineStr">
        <is>
          <t>17:30</t>
        </is>
      </c>
      <c r="C35" s="5" t="inlineStr">
        <is>
          <t>🎄 Xintiandi Christmas Market ไฟเริ่มสวย</t>
        </is>
      </c>
      <c r="D35" s="67" t="inlineStr">
        <is>
          <t>🚶 ติดกัน</t>
        </is>
      </c>
      <c r="E35" s="52" t="inlineStr">
        <is>
          <t>ฟรี</t>
        </is>
      </c>
      <c r="F35" s="72" t="inlineStr">
        <is>
          <t>เที่ยว</t>
        </is>
      </c>
    </row>
    <row r="36" ht="30" customHeight="1">
      <c r="A36" s="69" t="inlineStr"/>
      <c r="B36" s="66" t="inlineStr">
        <is>
          <t>18:30</t>
        </is>
      </c>
      <c r="C36" s="5" t="inlineStr">
        <is>
          <t>🍲 เย็น: Haidilao (พิเศษ ① จองห้อง) หรือ K11 food court</t>
        </is>
      </c>
      <c r="D36" s="67" t="inlineStr">
        <is>
          <t>🚶</t>
        </is>
      </c>
      <c r="E36" s="52" t="inlineStr">
        <is>
          <t>60–150</t>
        </is>
      </c>
      <c r="F36" s="70" t="inlineStr">
        <is>
          <t>กิน</t>
        </is>
      </c>
    </row>
    <row r="37" ht="30" customHeight="1">
      <c r="A37" s="69" t="inlineStr"/>
      <c r="B37" s="66" t="inlineStr">
        <is>
          <t>20:00</t>
        </is>
      </c>
      <c r="C37" s="5" t="inlineStr">
        <is>
          <t>กลับโรงแรม</t>
        </is>
      </c>
      <c r="D37" s="67" t="inlineStr">
        <is>
          <t>🚇 13 新天地→自然博物馆 2 ป้าย</t>
        </is>
      </c>
      <c r="E37" s="52" t="inlineStr">
        <is>
          <t>3</t>
        </is>
      </c>
      <c r="F37" s="68" t="inlineStr">
        <is>
          <t>เดินทาง</t>
        </is>
      </c>
    </row>
    <row r="38" ht="30" customHeight="1">
      <c r="A38" s="65" t="inlineStr">
        <is>
          <t>อาทิตย์ 13</t>
        </is>
      </c>
      <c r="B38" s="66" t="inlineStr">
        <is>
          <t>07:30</t>
        </is>
      </c>
      <c r="C38" s="5" t="inlineStr">
        <is>
          <t>อาหารเช้าเร็ว</t>
        </is>
      </c>
      <c r="D38" s="67" t="inlineStr">
        <is>
          <t>🚶</t>
        </is>
      </c>
      <c r="E38" s="52" t="inlineStr">
        <is>
          <t>15</t>
        </is>
      </c>
      <c r="F38" s="70" t="inlineStr">
        <is>
          <t>กิน</t>
        </is>
      </c>
    </row>
    <row r="39" ht="30" customHeight="1">
      <c r="A39" s="69" t="inlineStr"/>
      <c r="B39" s="66" t="inlineStr">
        <is>
          <t>08:00</t>
        </is>
      </c>
      <c r="C39" s="5" t="inlineStr">
        <is>
          <t>ออกเดินทางไกล</t>
        </is>
      </c>
      <c r="D39" s="67" t="inlineStr">
        <is>
          <t>🚇 2→16 ถึง 滴水湖 ~80 น. + 🚕 10 น.</t>
        </is>
      </c>
      <c r="E39" s="52" t="inlineStr">
        <is>
          <t>12</t>
        </is>
      </c>
      <c r="F39" s="68" t="inlineStr">
        <is>
          <t>เดินทาง</t>
        </is>
      </c>
    </row>
    <row r="40" ht="30" customHeight="1">
      <c r="A40" s="69" t="inlineStr"/>
      <c r="B40" s="66" t="inlineStr">
        <is>
          <t>10:00</t>
        </is>
      </c>
      <c r="C40" s="5" t="inlineStr">
        <is>
          <t>🔭 พิพิธภัณฑ์ดาราศาสตร์ 上海天文馆 (จองแล้ว) 2.5 ชม. • ถ่ายสระสะท้อนด้านหน้า</t>
        </is>
      </c>
      <c r="D40" s="67" t="inlineStr">
        <is>
          <t>🚶</t>
        </is>
      </c>
      <c r="E40" s="52" t="inlineStr">
        <is>
          <t>30</t>
        </is>
      </c>
      <c r="F40" s="72" t="inlineStr">
        <is>
          <t>เที่ยว</t>
        </is>
      </c>
    </row>
    <row r="41" ht="30" customHeight="1">
      <c r="A41" s="69" t="inlineStr"/>
      <c r="B41" s="66" t="inlineStr">
        <is>
          <t>12:45</t>
        </is>
      </c>
      <c r="C41" s="5" t="inlineStr">
        <is>
          <t>🍜 เที่ยงริม Dishui Lake</t>
        </is>
      </c>
      <c r="D41" s="67" t="inlineStr">
        <is>
          <t>🚕 กลับสถานี</t>
        </is>
      </c>
      <c r="E41" s="52" t="inlineStr">
        <is>
          <t>60</t>
        </is>
      </c>
      <c r="F41" s="70" t="inlineStr">
        <is>
          <t>กิน</t>
        </is>
      </c>
    </row>
    <row r="42" ht="30" customHeight="1">
      <c r="A42" s="69" t="inlineStr"/>
      <c r="B42" s="66" t="inlineStr">
        <is>
          <t>13:40</t>
        </is>
      </c>
      <c r="C42" s="5" t="inlineStr">
        <is>
          <t>ไหลกลับ</t>
        </is>
      </c>
      <c r="D42" s="67" t="inlineStr">
        <is>
          <t>🚇 16→7→8 ถึง 中华艺术宫 ~50 น.</t>
        </is>
      </c>
      <c r="E42" s="52" t="inlineStr">
        <is>
          <t>8</t>
        </is>
      </c>
      <c r="F42" s="68" t="inlineStr">
        <is>
          <t>เดินทาง</t>
        </is>
      </c>
    </row>
    <row r="43" ht="30" customHeight="1">
      <c r="A43" s="69" t="inlineStr"/>
      <c r="B43" s="66" t="inlineStr">
        <is>
          <t>14:45</t>
        </is>
      </c>
      <c r="C43" s="5" t="inlineStr">
        <is>
          <t>🌿 Expo Culture Park (+Greenhouse เรือนกระจกอุ่น ถ้าเข้า)</t>
        </is>
      </c>
      <c r="D43" s="67" t="inlineStr">
        <is>
          <t>🚶</t>
        </is>
      </c>
      <c r="E43" s="52" t="inlineStr">
        <is>
          <t>0–120</t>
        </is>
      </c>
      <c r="F43" s="72" t="inlineStr">
        <is>
          <t>เที่ยว</t>
        </is>
      </c>
    </row>
    <row r="44" ht="30" customHeight="1">
      <c r="A44" s="69" t="inlineStr"/>
      <c r="B44" s="66" t="inlineStr">
        <is>
          <t>16:15</t>
        </is>
      </c>
      <c r="C44" s="5" t="inlineStr">
        <is>
          <t>ข้ามแม่น้ำ</t>
        </is>
      </c>
      <c r="D44" s="67" t="inlineStr">
        <is>
          <t>🚕 ข้าม Lupu 2 คัน ~15 น.</t>
        </is>
      </c>
      <c r="E44" s="52" t="inlineStr">
        <is>
          <t>10</t>
        </is>
      </c>
      <c r="F44" s="68" t="inlineStr">
        <is>
          <t>เดินทาง</t>
        </is>
      </c>
    </row>
    <row r="45" ht="30" customHeight="1">
      <c r="A45" s="69" t="inlineStr"/>
      <c r="B45" s="66" t="inlineStr">
        <is>
          <t>16:35</t>
        </is>
      </c>
      <c r="C45" s="5" t="inlineStr">
        <is>
          <t>🍂 กิงโกะ Jumen Rd 局门路 + คาเฟ่โรงงานเก่า «แสงทอง 16:30–17:15»</t>
        </is>
      </c>
      <c r="D45" s="67" t="inlineStr">
        <is>
          <t>🚶</t>
        </is>
      </c>
      <c r="E45" s="52" t="inlineStr">
        <is>
          <t>30</t>
        </is>
      </c>
      <c r="F45" s="72" t="inlineStr">
        <is>
          <t>เที่ยว</t>
        </is>
      </c>
    </row>
    <row r="46" ht="30" customHeight="1">
      <c r="A46" s="69" t="inlineStr"/>
      <c r="B46" s="66" t="inlineStr">
        <is>
          <t>17:45</t>
        </is>
      </c>
      <c r="C46" s="5" t="inlineStr">
        <is>
          <t>🍽️ เย็นโซน Expo Puxi/ริมน้ำ หรือแถวโรงแรม</t>
        </is>
      </c>
      <c r="D46" s="67" t="inlineStr">
        <is>
          <t>🚶</t>
        </is>
      </c>
      <c r="E46" s="52" t="inlineStr">
        <is>
          <t>60–90</t>
        </is>
      </c>
      <c r="F46" s="70" t="inlineStr">
        <is>
          <t>กิน</t>
        </is>
      </c>
    </row>
    <row r="47" ht="30" customHeight="1">
      <c r="A47" s="69" t="inlineStr"/>
      <c r="B47" s="66" t="inlineStr">
        <is>
          <t>19:00</t>
        </is>
      </c>
      <c r="C47" s="5" t="inlineStr">
        <is>
          <t>กลับโรงแรม</t>
        </is>
      </c>
      <c r="D47" s="67" t="inlineStr">
        <is>
          <t>🚇 13 世博会博物馆→自然博物馆 ตรง</t>
        </is>
      </c>
      <c r="E47" s="52" t="inlineStr">
        <is>
          <t>4</t>
        </is>
      </c>
      <c r="F47" s="68" t="inlineStr">
        <is>
          <t>เดินทาง</t>
        </is>
      </c>
    </row>
    <row r="48" ht="30" customHeight="1">
      <c r="A48" s="65" t="inlineStr">
        <is>
          <t>จันทร์ 14</t>
        </is>
      </c>
      <c r="B48" s="66" t="inlineStr">
        <is>
          <t>07:45</t>
        </is>
      </c>
      <c r="C48" s="5" t="inlineStr">
        <is>
          <t>อาหารเช้า</t>
        </is>
      </c>
      <c r="D48" s="67" t="inlineStr">
        <is>
          <t>🚶</t>
        </is>
      </c>
      <c r="E48" s="52" t="inlineStr">
        <is>
          <t>15</t>
        </is>
      </c>
      <c r="F48" s="70" t="inlineStr">
        <is>
          <t>กิน</t>
        </is>
      </c>
    </row>
    <row r="49" ht="30" customHeight="1">
      <c r="A49" s="69" t="inlineStr"/>
      <c r="B49" s="66" t="inlineStr">
        <is>
          <t>08:30</t>
        </is>
      </c>
      <c r="C49" s="5" t="inlineStr">
        <is>
          <t>🍂 กิงโกะ Cadillac Concert Hall 上海音乐庭 «เช้าสุด=คนน้อยสุด»</t>
        </is>
      </c>
      <c r="D49" s="67" t="inlineStr">
        <is>
          <t>🚇 2 1 ป้าย+🚶</t>
        </is>
      </c>
      <c r="E49" s="52" t="inlineStr">
        <is>
          <t>3</t>
        </is>
      </c>
      <c r="F49" s="72" t="inlineStr">
        <is>
          <t>เที่ยว</t>
        </is>
      </c>
    </row>
    <row r="50" ht="30" customHeight="1">
      <c r="A50" s="69" t="inlineStr"/>
      <c r="B50" s="66" t="inlineStr">
        <is>
          <t>09:15</t>
        </is>
      </c>
      <c r="C50" s="5" t="inlineStr">
        <is>
          <t>🍂 กิงโกะ Wenshui Rd 汶水路 (Line 1)</t>
        </is>
      </c>
      <c r="D50" s="67" t="inlineStr">
        <is>
          <t>🚇 Line 1 6 ป้าย</t>
        </is>
      </c>
      <c r="E50" s="52" t="inlineStr">
        <is>
          <t>4</t>
        </is>
      </c>
      <c r="F50" s="72" t="inlineStr">
        <is>
          <t>เที่ยว</t>
        </is>
      </c>
    </row>
    <row r="51" ht="30" customHeight="1">
      <c r="A51" s="69" t="inlineStr"/>
      <c r="B51" s="66" t="inlineStr">
        <is>
          <t>10:45</t>
        </is>
      </c>
      <c r="C51" s="5" t="inlineStr">
        <is>
          <t>ไปหงโข่ว</t>
        </is>
      </c>
      <c r="D51" s="67" t="inlineStr">
        <is>
          <t>🚕 2 คัน ~10 น.</t>
        </is>
      </c>
      <c r="E51" s="52" t="inlineStr">
        <is>
          <t>8</t>
        </is>
      </c>
      <c r="F51" s="68" t="inlineStr">
        <is>
          <t>เดินทาง</t>
        </is>
      </c>
    </row>
    <row r="52" ht="30" customHeight="1">
      <c r="A52" s="69" t="inlineStr"/>
      <c r="B52" s="66" t="inlineStr">
        <is>
          <t>11:00</t>
        </is>
      </c>
      <c r="C52" s="5" t="inlineStr">
        <is>
          <t>🏛️ 1933 Old Millfun — ทางวนคอนกรีต «แสงเที่ยงลอดช่อง=ซิกเนเจอร์»</t>
        </is>
      </c>
      <c r="D52" s="67" t="inlineStr">
        <is>
          <t>🚶</t>
        </is>
      </c>
      <c r="E52" s="52" t="inlineStr">
        <is>
          <t>ฟรี</t>
        </is>
      </c>
      <c r="F52" s="72" t="inlineStr">
        <is>
          <t>เที่ยว</t>
        </is>
      </c>
    </row>
    <row r="53" ht="30" customHeight="1">
      <c r="A53" s="69" t="inlineStr"/>
      <c r="B53" s="66" t="inlineStr">
        <is>
          <t>12:00</t>
        </is>
      </c>
      <c r="C53" s="5" t="inlineStr">
        <is>
          <t>🚶 Duolun Rd 多伦路 ถนนวัฒนธรรม</t>
        </is>
      </c>
      <c r="D53" s="67" t="inlineStr">
        <is>
          <t>🚶 10 น.</t>
        </is>
      </c>
      <c r="E53" s="52" t="inlineStr">
        <is>
          <t>ฟรี</t>
        </is>
      </c>
      <c r="F53" s="72" t="inlineStr">
        <is>
          <t>เที่ยว</t>
        </is>
      </c>
    </row>
    <row r="54" ht="30" customHeight="1">
      <c r="A54" s="69" t="inlineStr"/>
      <c r="B54" s="66" t="inlineStr">
        <is>
          <t>12:30</t>
        </is>
      </c>
      <c r="C54" s="5" t="inlineStr">
        <is>
          <t>🍜 เที่ยงหงโข่ว: บะหมี่/เกี๊ยวร้านเก่า Sichuan North Rd</t>
        </is>
      </c>
      <c r="D54" s="67" t="inlineStr">
        <is>
          <t>🚶</t>
        </is>
      </c>
      <c r="E54" s="52" t="inlineStr">
        <is>
          <t>40</t>
        </is>
      </c>
      <c r="F54" s="70" t="inlineStr">
        <is>
          <t>กิน</t>
        </is>
      </c>
    </row>
    <row r="55" ht="30" customHeight="1">
      <c r="A55" s="69" t="inlineStr"/>
      <c r="B55" s="66" t="inlineStr">
        <is>
          <t>13:30</t>
        </is>
      </c>
      <c r="C55" s="5" t="inlineStr">
        <is>
          <t>💗 Tian'ai Rd 甜爱路 (+Lu Xun Park ถ้าแรงเหลือ)</t>
        </is>
      </c>
      <c r="D55" s="67" t="inlineStr">
        <is>
          <t>🚶 12 น.</t>
        </is>
      </c>
      <c r="E55" s="52" t="inlineStr">
        <is>
          <t>0</t>
        </is>
      </c>
      <c r="F55" s="72" t="inlineStr">
        <is>
          <t>เที่ยว</t>
        </is>
      </c>
    </row>
    <row r="56" ht="30" customHeight="1">
      <c r="A56" s="69" t="inlineStr"/>
      <c r="B56" s="66" t="inlineStr">
        <is>
          <t>14:30</t>
        </is>
      </c>
      <c r="C56" s="5" t="inlineStr">
        <is>
          <t>ไปผู่ตง</t>
        </is>
      </c>
      <c r="D56" s="67" t="inlineStr">
        <is>
          <t>🚇 10 海伦路→2 陆家嘴 ~35 น.</t>
        </is>
      </c>
      <c r="E56" s="52" t="inlineStr">
        <is>
          <t>5</t>
        </is>
      </c>
      <c r="F56" s="68" t="inlineStr">
        <is>
          <t>เดินทาง</t>
        </is>
      </c>
    </row>
    <row r="57" ht="30" customHeight="1">
      <c r="A57" s="69" t="inlineStr"/>
      <c r="B57" s="66" t="inlineStr">
        <is>
          <t>15:10</t>
        </is>
      </c>
      <c r="C57" s="5" t="inlineStr">
        <is>
          <t>🌉 สะพานวงแหวน Lujiazui มุมเสย 3 ตึกยักษ์</t>
        </is>
      </c>
      <c r="D57" s="67" t="inlineStr">
        <is>
          <t>🚶</t>
        </is>
      </c>
      <c r="E57" s="52" t="inlineStr">
        <is>
          <t>ฟรี</t>
        </is>
      </c>
      <c r="F57" s="72" t="inlineStr">
        <is>
          <t>เที่ยว</t>
        </is>
      </c>
    </row>
    <row r="58" ht="30" customHeight="1">
      <c r="A58" s="69" t="inlineStr"/>
      <c r="B58" s="66" t="inlineStr">
        <is>
          <t>15:30</t>
        </is>
      </c>
      <c r="C58" s="5" t="inlineStr">
        <is>
          <t>🐠 Ocean Aquarium (เข้าก่อน 17:00) อุโมงค์ใต้น้ำ 1.5 ชม.</t>
        </is>
      </c>
      <c r="D58" s="67" t="inlineStr">
        <is>
          <t>🚶 5 น.</t>
        </is>
      </c>
      <c r="E58" s="52" t="inlineStr">
        <is>
          <t>122</t>
        </is>
      </c>
      <c r="F58" s="72" t="inlineStr">
        <is>
          <t>เที่ยว</t>
        </is>
      </c>
    </row>
    <row r="59" ht="30" customHeight="1">
      <c r="A59" s="69" t="inlineStr"/>
      <c r="B59" s="66" t="inlineStr">
        <is>
          <t>17:10</t>
        </is>
      </c>
      <c r="C59" s="5" t="inlineStr">
        <is>
          <t>🎄 IFC ต้นคริสต์มาส+ลานสเก็ต + 🛍️ ช้อป2 City Super</t>
        </is>
      </c>
      <c r="D59" s="67" t="inlineStr">
        <is>
          <t>🚶 เชื่อม</t>
        </is>
      </c>
      <c r="E59" s="52" t="inlineStr">
        <is>
          <t>ฟรี</t>
        </is>
      </c>
      <c r="F59" s="73" t="inlineStr">
        <is>
          <t>ช้อป</t>
        </is>
      </c>
    </row>
    <row r="60" ht="30" customHeight="1">
      <c r="A60" s="69" t="inlineStr"/>
      <c r="B60" s="66" t="inlineStr">
        <is>
          <t>18:20</t>
        </is>
      </c>
      <c r="C60" s="5" t="inlineStr">
        <is>
          <t>⛴️ เฟอร์รี่ ¥2 กลับพูซี — ไฟทั้งสองฝั่งจากกลางน้ำ</t>
        </is>
      </c>
      <c r="D60" s="67" t="inlineStr">
        <is>
          <t>⛴️ 10 น.</t>
        </is>
      </c>
      <c r="E60" s="52" t="inlineStr">
        <is>
          <t>2</t>
        </is>
      </c>
      <c r="F60" s="72" t="inlineStr">
        <is>
          <t>เที่ยว</t>
        </is>
      </c>
    </row>
    <row r="61" ht="30" customHeight="1">
      <c r="A61" s="69" t="inlineStr"/>
      <c r="B61" s="66" t="inlineStr">
        <is>
          <t>18:45</t>
        </is>
      </c>
      <c r="C61" s="5" t="inlineStr">
        <is>
          <t>📸 The Bund มุมคลาสสิกตอนเปิดไฟ (mood ต่างศุกร์)</t>
        </is>
      </c>
      <c r="D61" s="67" t="inlineStr">
        <is>
          <t>🚶 5 น.</t>
        </is>
      </c>
      <c r="E61" s="52" t="inlineStr">
        <is>
          <t>ฟรี</t>
        </is>
      </c>
      <c r="F61" s="72" t="inlineStr">
        <is>
          <t>เที่ยว</t>
        </is>
      </c>
    </row>
    <row r="62" ht="30" customHeight="1">
      <c r="A62" s="69" t="inlineStr"/>
      <c r="B62" s="66" t="inlineStr">
        <is>
          <t>19:15</t>
        </is>
      </c>
      <c r="C62" s="5" t="inlineStr">
        <is>
          <t>ไปจิ้งอัน</t>
        </is>
      </c>
      <c r="D62" s="67" t="inlineStr">
        <is>
          <t>🚇 2 南京东路→静安寺 4 ป้าย</t>
        </is>
      </c>
      <c r="E62" s="52" t="inlineStr">
        <is>
          <t>4</t>
        </is>
      </c>
      <c r="F62" s="68" t="inlineStr">
        <is>
          <t>เดินทาง</t>
        </is>
      </c>
    </row>
    <row r="63" ht="30" customHeight="1">
      <c r="A63" s="69" t="inlineStr"/>
      <c r="B63" s="66" t="inlineStr">
        <is>
          <t>19:40</t>
        </is>
      </c>
      <c r="C63" s="5" t="inlineStr">
        <is>
          <t>🛕 วัดจิ้งอันไฟค่ำ + 🎄 Kerry Christmas Market (ฟรี)</t>
        </is>
      </c>
      <c r="D63" s="67" t="inlineStr">
        <is>
          <t>🚶</t>
        </is>
      </c>
      <c r="E63" s="52" t="inlineStr">
        <is>
          <t>ฟรี</t>
        </is>
      </c>
      <c r="F63" s="72" t="inlineStr">
        <is>
          <t>เที่ยว</t>
        </is>
      </c>
    </row>
    <row r="64" ht="30" customHeight="1">
      <c r="A64" s="69" t="inlineStr"/>
      <c r="B64" s="66" t="inlineStr">
        <is>
          <t>20:15</t>
        </is>
      </c>
      <c r="C64" s="5" t="inlineStr">
        <is>
          <t>🍽️ มื้อส่งท้าย (พิเศษ ②): Kerry/Reel หรือเซี่ยงไฮ้แท้จิ้งอัน</t>
        </is>
      </c>
      <c r="D64" s="67" t="inlineStr">
        <is>
          <t>🚶</t>
        </is>
      </c>
      <c r="E64" s="52" t="inlineStr">
        <is>
          <t>150</t>
        </is>
      </c>
      <c r="F64" s="70" t="inlineStr">
        <is>
          <t>กิน</t>
        </is>
      </c>
    </row>
    <row r="65" ht="30" customHeight="1">
      <c r="A65" s="69" t="inlineStr"/>
      <c r="B65" s="66" t="inlineStr">
        <is>
          <t>21:30</t>
        </is>
      </c>
      <c r="C65" s="5" t="inlineStr">
        <is>
          <t>🚶 เดินกลับ 1.2 กม. (+Zhang Yuan กลางคืน) • แพ็กของ!</t>
        </is>
      </c>
      <c r="D65" s="67" t="inlineStr">
        <is>
          <t>🚶</t>
        </is>
      </c>
      <c r="E65" s="52" t="inlineStr">
        <is>
          <t>ฟรี</t>
        </is>
      </c>
      <c r="F65" s="71" t="inlineStr">
        <is>
          <t>พัก</t>
        </is>
      </c>
    </row>
    <row r="66" ht="30" customHeight="1">
      <c r="A66" s="65" t="inlineStr">
        <is>
          <t>อังคาร 15</t>
        </is>
      </c>
      <c r="B66" s="66" t="inlineStr">
        <is>
          <t>07:00</t>
        </is>
      </c>
      <c r="C66" s="5" t="inlineStr">
        <is>
          <t>ตื่น + ชั่งกระเป๋า</t>
        </is>
      </c>
      <c r="D66" s="67" t="inlineStr">
        <is>
          <t>—</t>
        </is>
      </c>
      <c r="E66" s="52" t="inlineStr">
        <is>
          <t>-</t>
        </is>
      </c>
      <c r="F66" s="71" t="inlineStr">
        <is>
          <t>พัก</t>
        </is>
      </c>
    </row>
    <row r="67" ht="30" customHeight="1">
      <c r="A67" s="69" t="inlineStr"/>
      <c r="B67" s="66" t="inlineStr">
        <is>
          <t>07:30</t>
        </is>
      </c>
      <c r="C67" s="5" t="inlineStr">
        <is>
          <t>อาหารเช้าใกล้โรงแรม</t>
        </is>
      </c>
      <c r="D67" s="67" t="inlineStr">
        <is>
          <t>🚶</t>
        </is>
      </c>
      <c r="E67" s="52" t="inlineStr">
        <is>
          <t>15</t>
        </is>
      </c>
      <c r="F67" s="70" t="inlineStr">
        <is>
          <t>กิน</t>
        </is>
      </c>
    </row>
    <row r="68" ht="30" customHeight="1">
      <c r="A68" s="69" t="inlineStr"/>
      <c r="B68" s="66" t="inlineStr">
        <is>
          <t>08:00</t>
        </is>
      </c>
      <c r="C68" s="5" t="inlineStr">
        <is>
          <t>เช็กเอาต์ • เช็กของลืม</t>
        </is>
      </c>
      <c r="D68" s="67" t="inlineStr">
        <is>
          <t>—</t>
        </is>
      </c>
      <c r="E68" s="52" t="inlineStr">
        <is>
          <t>-</t>
        </is>
      </c>
      <c r="F68" s="71" t="inlineStr">
        <is>
          <t>พัก</t>
        </is>
      </c>
    </row>
    <row r="69" ht="30" customHeight="1">
      <c r="A69" s="69" t="inlineStr"/>
      <c r="B69" s="66" t="inlineStr">
        <is>
          <t>08:15</t>
        </is>
      </c>
      <c r="C69" s="5" t="inlineStr">
        <is>
          <t>🚕 แท็กซี่ 2 คัน → PVG T2</t>
        </is>
      </c>
      <c r="D69" s="67" t="inlineStr">
        <is>
          <t>🚕 60–75 น.</t>
        </is>
      </c>
      <c r="E69" s="52" t="inlineStr">
        <is>
          <t>65</t>
        </is>
      </c>
      <c r="F69" s="68" t="inlineStr">
        <is>
          <t>เดินทาง</t>
        </is>
      </c>
    </row>
    <row r="70" ht="30" customHeight="1">
      <c r="A70" s="69" t="inlineStr"/>
      <c r="B70" s="66" t="inlineStr">
        <is>
          <t>09:15</t>
        </is>
      </c>
      <c r="C70" s="5" t="inlineStr">
        <is>
          <t>เช็กอิน+โหลด+ตม. • Duty Free</t>
        </is>
      </c>
      <c r="D70" s="67" t="inlineStr">
        <is>
          <t>—</t>
        </is>
      </c>
      <c r="E70" s="52" t="inlineStr">
        <is>
          <t>-</t>
        </is>
      </c>
      <c r="F70" s="68" t="inlineStr">
        <is>
          <t>เดินทาง</t>
        </is>
      </c>
    </row>
    <row r="71" ht="30" customHeight="1">
      <c r="A71" s="69" t="inlineStr"/>
      <c r="B71" s="66" t="inlineStr">
        <is>
          <t>12:00</t>
        </is>
      </c>
      <c r="C71" s="5" t="inlineStr">
        <is>
          <t>✈️ 9C7283 PVG → BKK (ซื้อรองท้องก่อนขึ้น)</t>
        </is>
      </c>
      <c r="D71" s="67" t="inlineStr">
        <is>
          <t>✈️</t>
        </is>
      </c>
      <c r="E71" s="52" t="inlineStr">
        <is>
          <t>30</t>
        </is>
      </c>
      <c r="F71" s="68" t="inlineStr">
        <is>
          <t>เดินทาง</t>
        </is>
      </c>
    </row>
    <row r="72" ht="30" customHeight="1">
      <c r="A72" s="69" t="inlineStr"/>
      <c r="B72" s="66" t="inlineStr">
        <is>
          <t>15:45</t>
        </is>
      </c>
      <c r="C72" s="5" t="inlineStr">
        <is>
          <t>ถึงสุวรรณภูมิ 🎉</t>
        </is>
      </c>
      <c r="D72" s="67" t="inlineStr">
        <is>
          <t>—</t>
        </is>
      </c>
      <c r="E72" s="52" t="inlineStr">
        <is>
          <t>-</t>
        </is>
      </c>
      <c r="F72" s="68" t="inlineStr">
        <is>
          <t>เดินทาง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2026-10-02T15:37:15Z</dcterms:created>
  <dcterms:modified xmlns:dcterms="http://purl.org/dc/terms/" xmlns:xsi="http://www.w3.org/2001/XMLSchema-instance" xsi:type="dcterms:W3CDTF">2026-10-02T15:37:15Z</dcterms:modified>
</cp:coreProperties>
</file>